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lvar\repos\GitHub\SMS_ASD\data_src\"/>
    </mc:Choice>
  </mc:AlternateContent>
  <xr:revisionPtr revIDLastSave="0" documentId="13_ncr:1_{D9CFF5CA-45C5-410E-9816-678B555EF12F}" xr6:coauthVersionLast="47" xr6:coauthVersionMax="47" xr10:uidLastSave="{00000000-0000-0000-0000-000000000000}"/>
  <bookViews>
    <workbookView xWindow="-120" yWindow="-120" windowWidth="29040" windowHeight="15720" xr2:uid="{00000000-000D-0000-FFFF-FFFF00000000}"/>
  </bookViews>
  <sheets>
    <sheet name="Revisados" sheetId="1" r:id="rId1"/>
  </sheets>
  <definedNames>
    <definedName name="_xlnm._FilterDatabase" localSheetId="0" hidden="1">Revisados!$A$1:$I$118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Dy5qSETPAyRTlBs9tIQnyBHYdNRzKgDIPgA/WVIhdUA="/>
    </ext>
  </extLst>
</workbook>
</file>

<file path=xl/calcChain.xml><?xml version="1.0" encoding="utf-8"?>
<calcChain xmlns="http://schemas.openxmlformats.org/spreadsheetml/2006/main">
  <c r="H118" i="1" l="1"/>
  <c r="G118" i="1"/>
  <c r="F118" i="1"/>
  <c r="E118" i="1"/>
  <c r="H117" i="1"/>
  <c r="G117" i="1"/>
  <c r="F117" i="1"/>
  <c r="E117" i="1"/>
  <c r="H116" i="1"/>
  <c r="G116" i="1"/>
  <c r="F116" i="1"/>
  <c r="E116" i="1"/>
  <c r="H115" i="1"/>
  <c r="G115" i="1"/>
  <c r="F115" i="1"/>
  <c r="E115" i="1"/>
  <c r="H114" i="1"/>
  <c r="G114" i="1"/>
  <c r="F114" i="1"/>
  <c r="E114" i="1"/>
  <c r="H113" i="1"/>
  <c r="G113" i="1"/>
  <c r="F113" i="1"/>
  <c r="E113" i="1"/>
  <c r="H112" i="1"/>
  <c r="G112" i="1"/>
  <c r="F112" i="1"/>
  <c r="E112" i="1"/>
  <c r="H111" i="1"/>
  <c r="G111" i="1"/>
  <c r="F111" i="1"/>
  <c r="E111" i="1"/>
  <c r="H110" i="1"/>
  <c r="G110" i="1"/>
  <c r="F110" i="1"/>
  <c r="E110" i="1"/>
  <c r="H109" i="1"/>
  <c r="G109" i="1"/>
  <c r="F109" i="1"/>
  <c r="E109" i="1"/>
  <c r="H108" i="1"/>
  <c r="G108" i="1"/>
  <c r="F108" i="1"/>
  <c r="E108" i="1"/>
  <c r="H107" i="1"/>
  <c r="G107" i="1"/>
  <c r="F107" i="1"/>
  <c r="E107" i="1"/>
  <c r="H106" i="1"/>
  <c r="G106" i="1"/>
  <c r="F106" i="1"/>
  <c r="E106" i="1"/>
  <c r="H105" i="1"/>
  <c r="G105" i="1"/>
  <c r="F105" i="1"/>
  <c r="E105" i="1"/>
  <c r="H104" i="1"/>
  <c r="G104" i="1"/>
  <c r="F104" i="1"/>
  <c r="E104" i="1"/>
  <c r="H103" i="1"/>
  <c r="G103" i="1"/>
  <c r="F103" i="1"/>
  <c r="E103" i="1"/>
  <c r="H102" i="1"/>
  <c r="G102" i="1"/>
  <c r="F102" i="1"/>
  <c r="E102" i="1"/>
  <c r="H101" i="1"/>
  <c r="G101" i="1"/>
  <c r="F101" i="1"/>
  <c r="E101" i="1"/>
  <c r="H100" i="1"/>
  <c r="G100" i="1"/>
  <c r="F100" i="1"/>
  <c r="E100" i="1"/>
  <c r="H99" i="1"/>
  <c r="G99" i="1"/>
  <c r="F99" i="1"/>
  <c r="E99" i="1"/>
  <c r="H98" i="1"/>
  <c r="G98" i="1"/>
  <c r="F98" i="1"/>
  <c r="E98" i="1"/>
  <c r="H97" i="1"/>
  <c r="G97" i="1"/>
  <c r="F97" i="1"/>
  <c r="E97" i="1"/>
  <c r="H96" i="1"/>
  <c r="G96" i="1"/>
  <c r="F96" i="1"/>
  <c r="E96" i="1"/>
  <c r="H95" i="1"/>
  <c r="G95" i="1"/>
  <c r="F95" i="1"/>
  <c r="E95" i="1"/>
  <c r="H94" i="1"/>
  <c r="G94" i="1"/>
  <c r="F94" i="1"/>
  <c r="E94" i="1"/>
  <c r="H93" i="1"/>
  <c r="G93" i="1"/>
  <c r="F93" i="1"/>
  <c r="E93" i="1"/>
  <c r="H92" i="1"/>
  <c r="G92" i="1"/>
  <c r="F92" i="1"/>
  <c r="E92" i="1"/>
  <c r="H91" i="1"/>
  <c r="G91" i="1"/>
  <c r="F91" i="1"/>
  <c r="E91" i="1"/>
  <c r="H90" i="1"/>
  <c r="G90" i="1"/>
  <c r="F90" i="1"/>
  <c r="E90" i="1"/>
  <c r="H89" i="1"/>
  <c r="G89" i="1"/>
  <c r="F89" i="1"/>
  <c r="E89" i="1"/>
  <c r="H88" i="1"/>
  <c r="G88" i="1"/>
  <c r="F88" i="1"/>
  <c r="E88" i="1"/>
  <c r="H87" i="1"/>
  <c r="G87" i="1"/>
  <c r="F87" i="1"/>
  <c r="E87" i="1"/>
  <c r="H86" i="1"/>
  <c r="G86" i="1"/>
  <c r="F86" i="1"/>
  <c r="E86" i="1"/>
  <c r="H85" i="1"/>
  <c r="G85" i="1"/>
  <c r="F85" i="1"/>
  <c r="E85" i="1"/>
  <c r="H84" i="1"/>
  <c r="G84" i="1"/>
  <c r="F84" i="1"/>
  <c r="E84" i="1"/>
  <c r="H83" i="1"/>
  <c r="G83" i="1"/>
  <c r="F83" i="1"/>
  <c r="E83" i="1"/>
  <c r="H82" i="1"/>
  <c r="G82" i="1"/>
  <c r="F82" i="1"/>
  <c r="E82" i="1"/>
  <c r="H81" i="1"/>
  <c r="G81" i="1"/>
  <c r="F81" i="1"/>
  <c r="E81" i="1"/>
  <c r="H80" i="1"/>
  <c r="G80" i="1"/>
  <c r="F80" i="1"/>
  <c r="E80" i="1"/>
  <c r="H79" i="1"/>
  <c r="G79" i="1"/>
  <c r="F79" i="1"/>
  <c r="E79" i="1"/>
  <c r="H78" i="1"/>
  <c r="G78" i="1"/>
  <c r="F78" i="1"/>
  <c r="E78" i="1"/>
  <c r="H77" i="1"/>
  <c r="G77" i="1"/>
  <c r="F77" i="1"/>
  <c r="E77" i="1"/>
  <c r="H76" i="1"/>
  <c r="G76" i="1"/>
  <c r="F76" i="1"/>
  <c r="E76" i="1"/>
  <c r="H75" i="1"/>
  <c r="G75" i="1"/>
  <c r="F75" i="1"/>
  <c r="E75" i="1"/>
  <c r="H74" i="1"/>
  <c r="G74" i="1"/>
  <c r="F74" i="1"/>
  <c r="E74" i="1"/>
  <c r="H73" i="1"/>
  <c r="G73" i="1"/>
  <c r="F73" i="1"/>
  <c r="E73" i="1"/>
  <c r="H72" i="1"/>
  <c r="G72" i="1"/>
  <c r="F72" i="1"/>
  <c r="E72" i="1"/>
  <c r="H71" i="1"/>
  <c r="G71" i="1"/>
  <c r="F71" i="1"/>
  <c r="E71" i="1"/>
  <c r="H70" i="1"/>
  <c r="G70" i="1"/>
  <c r="F70" i="1"/>
  <c r="E70" i="1"/>
  <c r="H69" i="1"/>
  <c r="G69" i="1"/>
  <c r="F69" i="1"/>
  <c r="E69" i="1"/>
  <c r="H68" i="1"/>
  <c r="G68" i="1"/>
  <c r="F68" i="1"/>
  <c r="E68" i="1"/>
  <c r="H67" i="1"/>
  <c r="G67" i="1"/>
  <c r="F67" i="1"/>
  <c r="E67" i="1"/>
  <c r="H66" i="1"/>
  <c r="G66" i="1"/>
  <c r="F66" i="1"/>
  <c r="E66" i="1"/>
  <c r="H65" i="1"/>
  <c r="G65" i="1"/>
  <c r="F65" i="1"/>
  <c r="E65" i="1"/>
  <c r="H64" i="1"/>
  <c r="G64" i="1"/>
  <c r="F64" i="1"/>
  <c r="E64" i="1"/>
  <c r="H63" i="1"/>
  <c r="G63" i="1"/>
  <c r="F63" i="1"/>
  <c r="E63" i="1"/>
  <c r="H62" i="1"/>
  <c r="G62" i="1"/>
  <c r="F62" i="1"/>
  <c r="E62" i="1"/>
  <c r="H61" i="1"/>
  <c r="G61" i="1"/>
  <c r="F61" i="1"/>
  <c r="E61" i="1"/>
  <c r="H60" i="1"/>
  <c r="G60" i="1"/>
  <c r="F60" i="1"/>
  <c r="E60" i="1"/>
  <c r="H59" i="1"/>
  <c r="G59" i="1"/>
  <c r="F59" i="1"/>
  <c r="E59" i="1"/>
  <c r="H58" i="1"/>
  <c r="G58" i="1"/>
  <c r="F58" i="1"/>
  <c r="E58" i="1"/>
  <c r="H57" i="1"/>
  <c r="G57" i="1"/>
  <c r="F57" i="1"/>
  <c r="E57" i="1"/>
  <c r="H56" i="1"/>
  <c r="G56" i="1"/>
  <c r="F56" i="1"/>
  <c r="E56" i="1"/>
  <c r="H55" i="1"/>
  <c r="G55" i="1"/>
  <c r="F55" i="1"/>
  <c r="E55" i="1"/>
  <c r="H54" i="1"/>
  <c r="G54" i="1"/>
  <c r="F54" i="1"/>
  <c r="E54" i="1"/>
  <c r="H53" i="1"/>
  <c r="G53" i="1"/>
  <c r="F53" i="1"/>
  <c r="E53" i="1"/>
  <c r="H52" i="1"/>
  <c r="G52" i="1"/>
  <c r="F52" i="1"/>
  <c r="E52" i="1"/>
  <c r="H51" i="1"/>
  <c r="G51" i="1"/>
  <c r="F51" i="1"/>
  <c r="E51" i="1"/>
  <c r="H50" i="1"/>
  <c r="G50" i="1"/>
  <c r="F50" i="1"/>
  <c r="E50" i="1"/>
  <c r="H49" i="1"/>
  <c r="G49" i="1"/>
  <c r="F49" i="1"/>
  <c r="E49" i="1"/>
  <c r="H48" i="1"/>
  <c r="G48" i="1"/>
  <c r="F48" i="1"/>
  <c r="E48" i="1"/>
  <c r="H47" i="1"/>
  <c r="G47" i="1"/>
  <c r="F47" i="1"/>
  <c r="E47" i="1"/>
  <c r="H46" i="1"/>
  <c r="G46" i="1"/>
  <c r="F46" i="1"/>
  <c r="E46" i="1"/>
  <c r="H45" i="1"/>
  <c r="G45" i="1"/>
  <c r="F45" i="1"/>
  <c r="E45" i="1"/>
  <c r="H44" i="1"/>
  <c r="G44" i="1"/>
  <c r="F44" i="1"/>
  <c r="E44" i="1"/>
  <c r="H43" i="1"/>
  <c r="G43" i="1"/>
  <c r="F43" i="1"/>
  <c r="E43" i="1"/>
  <c r="H42" i="1"/>
  <c r="G42" i="1"/>
  <c r="F42" i="1"/>
  <c r="E42" i="1"/>
  <c r="H41" i="1"/>
  <c r="G41" i="1"/>
  <c r="F41" i="1"/>
  <c r="E41" i="1"/>
  <c r="H40" i="1"/>
  <c r="G40" i="1"/>
  <c r="F40" i="1"/>
  <c r="E40" i="1"/>
  <c r="H39" i="1"/>
  <c r="G39" i="1"/>
  <c r="F39" i="1"/>
  <c r="E39" i="1"/>
  <c r="H38" i="1"/>
  <c r="G38" i="1"/>
  <c r="F38" i="1"/>
  <c r="E38" i="1"/>
  <c r="H37" i="1"/>
  <c r="G37" i="1"/>
  <c r="F37" i="1"/>
  <c r="E37" i="1"/>
  <c r="H36" i="1"/>
  <c r="G36" i="1"/>
  <c r="F36" i="1"/>
  <c r="E36" i="1"/>
  <c r="H35" i="1"/>
  <c r="G35" i="1"/>
  <c r="F35" i="1"/>
  <c r="E35" i="1"/>
  <c r="H34" i="1"/>
  <c r="G34" i="1"/>
  <c r="F34" i="1"/>
  <c r="E34" i="1"/>
  <c r="H33" i="1"/>
  <c r="G33" i="1"/>
  <c r="F33" i="1"/>
  <c r="E33" i="1"/>
  <c r="H32" i="1"/>
  <c r="G32" i="1"/>
  <c r="F32" i="1"/>
  <c r="E32" i="1"/>
  <c r="H31" i="1"/>
  <c r="G31" i="1"/>
  <c r="F31" i="1"/>
  <c r="E31" i="1"/>
  <c r="H30" i="1"/>
  <c r="G30" i="1"/>
  <c r="F30" i="1"/>
  <c r="E30" i="1"/>
  <c r="H29" i="1"/>
  <c r="G29" i="1"/>
  <c r="F29" i="1"/>
  <c r="E29" i="1"/>
  <c r="H28" i="1"/>
  <c r="G28" i="1"/>
  <c r="F28" i="1"/>
  <c r="E28" i="1"/>
  <c r="H27" i="1"/>
  <c r="G27" i="1"/>
  <c r="F27" i="1"/>
  <c r="E27" i="1"/>
  <c r="H26" i="1"/>
  <c r="G26" i="1"/>
  <c r="F26" i="1"/>
  <c r="E26" i="1"/>
  <c r="H25" i="1"/>
  <c r="G25" i="1"/>
  <c r="F25" i="1"/>
  <c r="E25" i="1"/>
  <c r="H24" i="1"/>
  <c r="G24" i="1"/>
  <c r="F24" i="1"/>
  <c r="E24" i="1"/>
  <c r="H23" i="1"/>
  <c r="G23" i="1"/>
  <c r="F23" i="1"/>
  <c r="E23" i="1"/>
  <c r="H22" i="1"/>
  <c r="G22" i="1"/>
  <c r="F22" i="1"/>
  <c r="E22" i="1"/>
  <c r="H21" i="1"/>
  <c r="G21" i="1"/>
  <c r="F21" i="1"/>
  <c r="E21" i="1"/>
  <c r="H20" i="1"/>
  <c r="G20" i="1"/>
  <c r="F20" i="1"/>
  <c r="E20" i="1"/>
  <c r="H19" i="1"/>
  <c r="G19" i="1"/>
  <c r="F19" i="1"/>
  <c r="E19" i="1"/>
  <c r="H18" i="1"/>
  <c r="G18" i="1"/>
  <c r="F18" i="1"/>
  <c r="E18" i="1"/>
  <c r="H17" i="1"/>
  <c r="G17" i="1"/>
  <c r="F17" i="1"/>
  <c r="E17" i="1"/>
  <c r="H16" i="1"/>
  <c r="G16" i="1"/>
  <c r="F16" i="1"/>
  <c r="E16" i="1"/>
  <c r="H15" i="1"/>
  <c r="G15" i="1"/>
  <c r="F15" i="1"/>
  <c r="E15" i="1"/>
  <c r="H14" i="1"/>
  <c r="G14" i="1"/>
  <c r="F14" i="1"/>
  <c r="E14" i="1"/>
  <c r="H13" i="1"/>
  <c r="G13" i="1"/>
  <c r="F13" i="1"/>
  <c r="E13" i="1"/>
  <c r="H12" i="1"/>
  <c r="G12" i="1"/>
  <c r="F12" i="1"/>
  <c r="E12" i="1"/>
  <c r="H11" i="1"/>
  <c r="G11" i="1"/>
  <c r="F11" i="1"/>
  <c r="E11" i="1"/>
  <c r="H10" i="1"/>
  <c r="G10" i="1"/>
  <c r="F10" i="1"/>
  <c r="E10" i="1"/>
  <c r="H9" i="1"/>
  <c r="G9" i="1"/>
  <c r="F9" i="1"/>
  <c r="E9" i="1"/>
  <c r="H8" i="1"/>
  <c r="G8" i="1"/>
  <c r="F8" i="1"/>
  <c r="E8" i="1"/>
  <c r="H7" i="1"/>
  <c r="G7" i="1"/>
  <c r="F7" i="1"/>
  <c r="E7" i="1"/>
  <c r="H6" i="1"/>
  <c r="G6" i="1"/>
  <c r="F6" i="1"/>
  <c r="E6" i="1"/>
  <c r="H5" i="1"/>
  <c r="G5" i="1"/>
  <c r="F5" i="1"/>
  <c r="E5" i="1"/>
  <c r="H4" i="1"/>
  <c r="G4" i="1"/>
  <c r="F4" i="1"/>
  <c r="E4" i="1"/>
  <c r="H3" i="1"/>
  <c r="G3" i="1"/>
  <c r="F3" i="1"/>
  <c r="E3" i="1"/>
  <c r="H2" i="1"/>
  <c r="G2" i="1"/>
  <c r="F2" i="1"/>
  <c r="E2" i="1"/>
</calcChain>
</file>

<file path=xl/sharedStrings.xml><?xml version="1.0" encoding="utf-8"?>
<sst xmlns="http://schemas.openxmlformats.org/spreadsheetml/2006/main" count="533" uniqueCount="415">
  <si>
    <t>DOI</t>
  </si>
  <si>
    <t>Title</t>
  </si>
  <si>
    <t>Abstract</t>
  </si>
  <si>
    <t>TAGs</t>
  </si>
  <si>
    <t>XR</t>
  </si>
  <si>
    <t>GAME</t>
  </si>
  <si>
    <t>ASD</t>
  </si>
  <si>
    <t>AI</t>
  </si>
  <si>
    <t>CAT_Biomarker</t>
  </si>
  <si>
    <t>10.1002/jdn.70000</t>
  </si>
  <si>
    <t>Virtual Reality-Based Attention Prediction Model in Gaming for Autistic Children</t>
  </si>
  <si>
    <t>Nowadays, virtual reality (VR) has emerged as a successful new therapeutic strategy in a variety of sectors of the health profession, including rehabilitation, the promotion of inpatients' emotional wellness, diagnostics, surgeon training and mental health therapy. This study develops a new model VRAPMG for children with ASD with the following steps that consider 3D gaming. In this work, the face image is considered to evaluate the attention of the children. In the data acquisition, the input face image is converted into a noncoloured image called a greyscale image. The preprocessing phase is carried out with a median filter and Viola–Jones (VJ) algorithm–based face detection is carried out. Then, the improved active shape model (ASM), shape local binary texture (SLBT) and eye position localization–based features are extracted. In the detection phase, DMO and Bi-GRU models are combined to form the hybrid classification model. Then, improved SLF is done, and the output is detected. Depending on the detected emotions, it is determined whether the children are attentive or not via entropy-based attention prediction. © 2025 International Society for Developmental Neuroscience.</t>
  </si>
  <si>
    <t>VR, ASD, GAME</t>
  </si>
  <si>
    <t>eye, brain</t>
  </si>
  <si>
    <t>10.1007/978-3-030-50164-8_31</t>
  </si>
  <si>
    <t>Mobile augmented reality app for children with autism spectrum disorder (asd) to learn vocabulary (marvoc): From the requirement gathering to its initial evaluation</t>
  </si>
  <si>
    <t>The use of different technologies for the intervention of children with autism spectrum disorder (ASD) has increased over the year with the increase in the number of children diagnosed with ASD. In recent years, among the different technologies, the researchers have started to use the augmented reality (AR) to provide the intervention of different skills to children with ASD. The use of AR has many benefits, including ubiquity, minimally work with a camera, among others. Despite several benefits, AR has been underutilized for the vocabulary learning of children with ASD. This paper presents the initial version of the Mobile augmented reality app for children with autism spectrum disorder (ASD) to learn vocabulary (MARVoc). The purpose of developing MARVoc is to support teaching staff at the centers based in Doha, Qatar, to provide an interactive learning environment to children with ASD. The requirements of the MARVoc were gathered from two centers for ASD in Doha; two specific use cases were created from which one use case was finalized for the development of MARVoc. The initial version of the MARVoc was developed; the feedback was taken from the staff working at centers for ASD in Doha, and MARVoc was updated. © Springer Nature Switzerland AG 2020.</t>
  </si>
  <si>
    <t>AR, ASD, GAME</t>
  </si>
  <si>
    <t>brain</t>
  </si>
  <si>
    <t>10.1007/978-3-030-53294-9_28</t>
  </si>
  <si>
    <t>Co-designing a head-mounted display based virtual reality game to teach street-crossing skills to children diagnosed with autism spectrum disorder</t>
  </si>
  <si>
    <t>In this paper, we present a head-mounted display based virtual reality game developed to teach street-crossing skills to children and adolescents diagnosed with Autism Spectrum Disorder. The virtual reality street-crossing training game is co-designed with four teachers who work with children diagnosed with autism on a daily basis. The teachers specified a set of requirements for the gamified training application that is described and discussed in this paper alongside the plans for the future itterations. © ICST Institute for Computer Sciences, Social Informatics and Telecommunications Engineering 2020.</t>
  </si>
  <si>
    <t>10.1007/978-3-031-05039-8_20</t>
  </si>
  <si>
    <t>Hoope Project: User-Centered Design Process Applied in the Implementation of Augmented Reality for Children with ASD</t>
  </si>
  <si>
    <t>In the present investigation, a little-known disciplinary field that integrates aspects of computer science is delved into: HCI human-computer interaction, usability, accessibility, and on the other hand, children with ASD. The scope of the research includes the analysis, design and implementation of software that uses augmented reality in a playful environment with the aim of reinforcing educational aspects of children diagnosed with ASD, it is in a stage of development and research, currently working on a proof of concept through the implementation of a prototype, the previous studies have been worked for a period of 4 years where aspects related to DCU were considered in a particular way, © 2022, The Author(s), under exclusive license to Springer Nature Switzerland AG.</t>
  </si>
  <si>
    <t>body movement</t>
  </si>
  <si>
    <t>10.1007/978-3-031-05654-3_29</t>
  </si>
  <si>
    <t>Applying Asymmetrical VR Collaborative Games to the Enhancement of Peer Collaboration and Oral Communication in Children with Autism</t>
  </si>
  <si>
    <t>Autism is a condition in which children are born with social impairments in social communication, imagination, and empathy, thus, they have difficulty interacting socially with peers or effectively interpreting each other’s intentions to engage in different social content. As a result of these deficits, most children with autism are unable to play cooperatively or effectively interact socially with their peers, which makes them socially isolated and difficult to integrate into the community. In view of this, this study conducted an asymmetric VR collaborative game for children with autism, where children with autism and Typical Development (TD) children participated in a collaborative game in pairs, and both children were required to play the game through peer cooperation and oral communication. A total of 6 participants aged 7–9 years old, including 3 children with high-functioning autism and 3 TD children, were recruited for this study. During the game, social assessments and behavioral observations were conducted by the researcher and the therapist to understand whether the asymmetrical VR collaborative game has an impact on children with autism in building peer cooperation and oral communication skills, in order to achieve outcomes that enhance social communication and trans-personal thinking skills. This study used an asymmetrical VR collaborative game to present the game situation with different viewpoints, which allowed children with autism and TD children to work together to solve the game tasks and levels in a peer-to-peer and oral communication manner. In this game, children with autism were required to interact socially with TD children through an asymmetrical play style, thus, triggering the application of peer cooperation and oral communication skills in children with autism. In this game, the researcher used the micro-behaviors for video coding (MBV) to observe and assess five domains, (1) mutual attention; (2) meaningful conversation; (3) collaboration; (4) proximity; and (5) turn taking. According to the results of this study, children with autism exhibited behavioral orientations in the asymmetrical VR collaborative game that were more oriented toward strengthening trans-personal and empathic abilities than traditional solo play, especially in peer cooperation and oral communication. On this basis, the expectation of this study was that the application of asymmetrical VR collaborative games had different degrees of specificity and implementation advantages for children with autism in terms of social communication, imagination, and empathy skills. Children with autism could learn to grasp the meaning of others’ spoken communication, and thus, develop the concept of peer cooperation during the game, which in turn facilitated their mastery of social skills in all aspects of the theory of the mind. © 2022, The Author(s), under exclusive license to Springer Nature Switzerland AG.</t>
  </si>
  <si>
    <t>VR, GAME, ASD</t>
  </si>
  <si>
    <t>10.1007/978-3-031-08648-9_53</t>
  </si>
  <si>
    <t>Augmented Reality Game for Children with Autism Spectrum Disorder</t>
  </si>
  <si>
    <t>Games play an important role in the development of children. Especially when it comes to children with special needs like autism, it is important to have a different approach when it comes to learning. Shapes and colours are the most important fundamental skills that help in the recognition of objects around and help with letters and words. Balloon Pop is an application that is designed keeping in mind the requirements of children diagnosed with autism. The paper gives an idea of the user’s needs and requirements and shows how the project solves the problem with augmented reality game design. The goal of the project is to design a game for autistic children that will help them learn the abstract concept of shapes and colours. The Digital game-based learning methodology (DGBL) is used in developing the game. The paper consists of the design rules that have been followed in designing for better interaction along with hardware and software architecture describing the flow of the project. Also, at last, the test and evaluation and 8 users have been done by using the System Usability Scale (SUS) tool. The application has been proven to be helpful for children along with parents/therapists to achieve the goal to make children interact and communicate freely, increase focus, and learn the abstract concepts of shapes and colour easily. © 2022, Springer Nature Switzerland AG.</t>
  </si>
  <si>
    <t>GAME, AR, ASD</t>
  </si>
  <si>
    <t>10.1007/978-3-031-26876-2_82</t>
  </si>
  <si>
    <t>A Serious Game as an Educational Tool to Teach Physics to High Functioning Autism Students</t>
  </si>
  <si>
    <t>The educational activities combined with the use of modern technology and focused on the field of natural sciences, acquire special interest when directed to students who fall into the spectrum of high-functioning autism. In this light, an educational digital software (serious game) was designed and developed with the aim of assisting the teaching of the basic Elementary Physics concepts and, on the other hand, controlling the assimilation and understanding of students with high-functioning autism spectrum disorder. Our research sample consists of 16 elementary school students of the 5th and 6th grades, eight of whom have a certified diagnosis of high-functioning autism spectrum disorder, while the remaining eight are of typical development. The results of the research revealed that the use of this digital application allows the processing, the visual application, the virtual experimental application, and the addressing of everyday physical issues in a pleasant manner, thus contributing to a better understanding of physics concepts, but also to the prevalence of knowledge on the part of students with ASD, while at the same time contributing to the control of the cognitive level of students by teachers. © 2023, The Author(s), under exclusive license to Springer Nature Switzerland AG.</t>
  </si>
  <si>
    <t>GAME, ASD, VR</t>
  </si>
  <si>
    <t>10.1007/978-3-031-34147-2_2</t>
  </si>
  <si>
    <t>Augmented Reality to Reinforce Working Memory in Children with ASD. A Case Studies</t>
  </si>
  <si>
    <t>Are interventions conducted using augmented reality beneficial for the working memory of children with autism spectrum disorder? This article describes a case study, which reviewed working memory in children who used Hope Software, the objective of the study was to assess whether children can remember after one year of the intervention the processes of imitation, perception, visual coordination, motor skills from sequences of auditory, visual stimuli, in direct, reverse and increasing order. The research was worked under the mixed approach, the type of research was experimental, descriptive and purposeful, it had the participation and guidance of a multidisciplinary team, it was carried out at the Ludic Place Therapeutic Center in Quito Ecuador, during the period from June to December 2022, A proposal was built that allows obtaining metrics through an assessment carried out through participatory design methods. The results obtained indicate that after one year of the intervention the participants remembered the processes, they even repeated some sequences, so we conclude that the use of augmented reality can favors working memory in children with autism. © 2023, The Author(s), under exclusive license to Springer Nature Switzerland AG.</t>
  </si>
  <si>
    <t>mr,ar,asd,game</t>
  </si>
  <si>
    <t>10.1007/978-3-031-62849-8_27</t>
  </si>
  <si>
    <t>A Social Communication Support Application for Autistic Children Using Computer Vision and Large Language Models</t>
  </si>
  <si>
    <t>A novel, affordable and accessible software solution that utilizes computer vision tools and Large Language Models (LLMs) to provide communication support to high functioning autistic children during online meetings with the aim of improving their social communication skills is presented. The system displays the remote attendee’s facial expressions as distinct emoticons to facilitate the child’s understanding of non-verbal social cues and suggests appropriate responses on demand based on the conversational context and the detected expressions. A gamification option for practicing facial expression recognition in an engaging manner is also offered. The application serves as a support platform as well as a teaching tool which autistic children can utilize to connect with friends and caregivers to improve their social communication skills. It is being developed in consultation with therapists who work with autistic children to ensure that its design is compatible with the unique needs of the end users. The system is more cost-effective and sensory friendly as compared to similar robotic and virtual reality-based solutions and has the added advantage that the child converses with a real human being instead of a robot or a virtual agent, thus, increasing the likelihood that the social skills learned would be effectively transferred to co-located face-to-face conversations. © The Author(s), under exclusive license to Springer Nature Switzerland AG 2024.</t>
  </si>
  <si>
    <t>voice</t>
  </si>
  <si>
    <t>10.1007/978-3-319-60366-7_20</t>
  </si>
  <si>
    <t>Design of a Haptic Virtual System for Improving Fine Motor Skills in Children with Autism</t>
  </si>
  <si>
    <t>Fine motor skills, including gripping, holding and reaching, are useful and necessary in fundamental daily activities. However, children with autism spectrum disorders (ASD) show deficits and delays in fine motor skills compared to their peers. In this paper, we propose a virtual training system enabling the assessment and improvement of fine motor skills for children with ASD through haptic interaction in a low-cost and engaging virtual environment with real-time feedback (e.g., haptic, auditory and visual feedback). This system consists of a Haptic Gripper allowing users to manipulate (e.g., grip and move) virtual balls in the games and thus provides opportunities for users to improve finger and hand motor control. We present the system design, and a small usability study which verified the system functionality and indicated the potential of this system in improving fine motor skills of the users in move and grip manipulations. © 2018, Springer International Publishing AG.</t>
  </si>
  <si>
    <t>ASD, GAME, VR</t>
  </si>
  <si>
    <t>10.1007/978-3-319-92049-8_33</t>
  </si>
  <si>
    <t>Design of an assistive avatar in improving eye gaze perception in children with ASD during virtual interaction</t>
  </si>
  <si>
    <t>Children diagnosed with autism spectrum disorder (ASD) usually experience impairment in social interaction and often display reduced gaze sharing when interacting with another person. The lack of gaze sharing or joint attention early in the children’s developmental stage may create a delay in their ability to learn new things and share information with others. The presented study involved the design of a novel virtual reality (VR)-based training game with an avatar and eye tracker aimed to eventually address the joint attention impairment in children with ASD. The assistive avatar provides necessary cues and hints based on both the eye tracking data recorded by the VR system and the task performance of the participant. The system uses the task performance to adaptively change the difficulty level of the game. We believe that the training game will be able to improve participant’s gaze following skill. A usability study was carried out to validate the system design. The result showed that the system was feasible and able to obtain the expected gaze performance from the participants. The details of the system architecture and result of system validation are presented in this paper. © Springer International Publishing AG, part of Springer Nature 2018.</t>
  </si>
  <si>
    <t>eye</t>
  </si>
  <si>
    <t>10.1007/978-3-319-92049-8_40</t>
  </si>
  <si>
    <t>The utility of the virtual reality in autistic disorder treatment</t>
  </si>
  <si>
    <t>Autistic disorder patients lack the social communication abilities and need interventional therapy to alleviate such symptoms. The cost of health care and treatment across the lifespan of patients were up to $3.2 million which places a crushing burden on the poor patients and their families. To relieve the symptoms of disease and reduce the financial pressure of the patients, many methods were proposed. The normal therapy is proceeding under the instruction of professional doctors in the hospital. Each person need to spend 6–8 h in the specialized institutions. Given the cost of treatment and time, the treatment could not carry out continually which could lead to reducing the curative effectiveness. The current study explores the utility of the virtual reality interventions to the autistic disorder patients. In the virtual environment, the patients could be receiving treatment continually and practice their social communication abilities in different social scenes. To generate immersive virtual social environment, a VR engine (Unity3D 5.0) were used. Some typical social communication scenes were also established which include the classroom, shopping mall and hospital. In these virtual scenes, the ASD patients were required to communicate with artificial intelligence (AI) players and finish some tasks. The coach which played by the researcher or expert would send appropriate instructions to help the patient when they encounter the difficulties. Two different statistic tables will be collected twice: one is before the training, the other one is after the training. The two checklists are Autism Behavior Scale (ABS) table and Childhood Autism Rating Scale (CARS) table. By comparing the scores which achieved in different time, researchers could assess the result of treatment and changing the content of the treatment in time. Four ASD children who had confirmed ASD diagnoses from a clinical doctor take part in this experiment. Informed consent was obtained from the parents before participation. The average age of the subjects is 6 (±1). These volunteers were asked to execute nine tasks in different social scenes, which include communicate with strange teachers, sellers and doctors. All these tasks have three levels: in lv1, only one AI player in the scenes, in lv2, two AI players in scenes, in lv3, no less than three AI players will in the scenes. The patients in which scenes at which levels is controlled by researchers. According to the results, we find that after the training that the scores of the ASD patients are raised. Such results suggest that the VR technology could very helpful for the adjuvant therapy of the ASD. © Springer International Publishing AG, part of Springer Nature 2018.</t>
  </si>
  <si>
    <t>VR, ASD, AI, GAME</t>
  </si>
  <si>
    <t>10.1007/s10639-021-10805-8</t>
  </si>
  <si>
    <t>The use of augmented reality to improve the development of activities of daily living in students with ASD</t>
  </si>
  <si>
    <t>In today's society, technology plays a fundamental role. More and more activities of daily life are being developed with the help of technology. One of the emerging technologies in recent years is augmented reality, (AR) which generate great benefits por people with disability. These visual technologies provide safe and controlled environments in learning to solve social situations for people with autism spectrum disorders (ASD). For this reason, it is proposed as an objective to analyse the effect of AR as a tool for learning the handwashing process. This research was developed using AR leaving from a quantitative approach, quasi-experimental methodology and pretest–posttest design. The Denver questionnaire was employed to collect data before the intervention and after the end of the intervention. In addition to this, the Onirix application was worked to create the AR environments. In this sense, the experimental group was composed of 6 students diagnosed with ASD (Level I, II, III) who developed activities with the AR application. While the control group was composed of 6 students diagnosed with ASD (level I, II, III) who performed similar activities in the handwashing process with traditional methodologies. The sessions had a duration of 20–30 min over 12 weeks to complete 10 sessions. In addition, a field record was used to leave proof of the children’s behaviour throughout the different sessions. In this way, it was possible to study how the child's behaviour had evolved from the pretest to the end of the intervention (post-test). The results show that there have been improvements in the post-test caused by working with augmented reality in several areas, such as, for example, in eye contact. This is reflected for example in item 3 which has a value of p = 0.005 and which is manifested in that the students due to AR turn towards the therapist when they hear his voice. If the study by Bakhtiarvand (2020) is followed, an improvement in the children's motivation for develop social interaction skills has been found. This is reflected in the fact that a value of p = 0.006 was reached after the intervention with the children who used the AR, having a greater interest in interacting socially. Likewise, Ferreira et al. (2020) note that AR has led to progress in the reaction time of students with ASD. For example, they identify a number or letter faster due to AR. In the opposite direction, are the investigations of Lorenzo et al. (2019) where there have been no improvements due to AR. The possibility of designing an application adapted in real time to the children's needs is considered as a future line of research. © 2021, The Author(s), under exclusive licence to Springer Science+Business Media, LLC, part of Springer Nature.</t>
  </si>
  <si>
    <t>10.1007/s10639-023-12319-x</t>
  </si>
  <si>
    <t>Communicative competence in students with ASD: Interaction and immersion in a Gamified Augmented Environment</t>
  </si>
  <si>
    <t>Active methodologies such as gamification, combined with emerging technologies like augmented reality, are enhancing learning environments that facilitate the development of essential competencies. Particularly, students with Autism Spectrum Disorder (ASD) require reinforcement of their Communicative Competence (CC) to activate their abilities to communicate effectively in different contexts, and interventions supported by this type of methodology and resources can contribute to this goal. The aim of this study is to analyse the contribution of an Augmented Gamified Environment to the development of CC in a sample of 54 subjects diagnosed in public Special Education centres. Correlational methodology is adopted with an exploratory and analytical approach. Individualized intervention sought to relate students' level of interaction and immersion in the environment's narrative to the increase in their CC. Their degree of autonomy when interacting with the tablet and immersion in the game was measured using observation-based instruments with categories that allowed for subsequent statistical analysis. Additionally, the influence of gender, age, severity of ASD, comorbidities, and type of language on the level of competence achieved was contrasted. The results show that engagement in mission execution favoured their CC. It was observed that the higher the immersion in the challenges, the higher the CC of the students. Specifically, older students with less severe ASD, functional oral language, and no comorbidity exhibited higher levels of CC. In conclusion, intervention for optimal results must be tailored to individual characteristics, present engaging narratives, and integrate playful activities that require communicative strategies. © The Author(s) 2023.</t>
  </si>
  <si>
    <t>GAME, ASD, AR</t>
  </si>
  <si>
    <t>10.1007/s10758-024-09806-6</t>
  </si>
  <si>
    <t>Game-Based Performance Tasks for Assessing Representational Flexibility of Autistic Adolescents in a Virtual World</t>
  </si>
  <si>
    <t>In this exploratory study, we designed and validated game-based performance tasks to assess the development of representational flexibility in autistic adolescents through virtual reality (VR)-based training. Representational flexibility, a critical cognitive ability, involves attention switching, generating representations, and recognizing patterns—skills essential for adaptive problem-solving and success in STEM education. Despite the increasing use of VR in educational interventions, limited research has explored dynamic, real-time assessment methods for representational flexibility, particularly for autistic learners. To address this gap, we conducted 71 VR-based training sessions with seven autistic adolescents, implementing a variety of game-based tasks targeting specific subsets of representational flexibility. Using both correlation and regression analyses, we evaluated the predictive validity of these tasks. Findings indicated significant relationships between task performance and representational flexibility subsets, with certain tasks demonstrating strong potential as proxies for dynamic cognitive assessments. The study highlights the viability of game-based performance tasks as an innovative approach to tracking cognitive development in immersive learning environments. Broadly, these findings contribute to advancing inclusive VR-based educational practices and assessment methodologies tailored to the unique needs of neurodiverse learners. © The Author(s), under exclusive licence to Springer Nature B.V. 2024.</t>
  </si>
  <si>
    <t>10.1007/s10803-016-2930-2</t>
  </si>
  <si>
    <t>Reduced Mimicry to Virtual Reality Avatars in Autism Spectrum Disorder</t>
  </si>
  <si>
    <t>Mimicry involves unconsciously copying the actions of others. Increasing evidence suggests that autistic people can copy the goal of an observed action but show differences in their mimicry. We investigated mimicry in autism spectrum disorder (ASD) within a two-dimensional virtual reality environment. Participants played an imitation game with a socially engaged avatar and socially disengaged avatar. Despite being told only to copy the goal of the observed action, autistic participants and matched neurotypical participants mimicked the kinematics of the avatars’ movements. However, autistic participants mimicked less. Social engagement did not modulate mimicry in either group. The results demonstrate the feasibility of using virtual reality to induce mimicry and suggest mimicry differences in ASD may also occur when interacting with avatars. © 2016, The Author(s).</t>
  </si>
  <si>
    <t>body movement, brain</t>
  </si>
  <si>
    <t>10.1007/s10803-017-3374-z</t>
  </si>
  <si>
    <t>Using Virtual Interactive Training Agents (ViTA) with Adults with Autism and Other Developmental Disabilities</t>
  </si>
  <si>
    <t>Conversational virtual human (VH) agents are increasingly used to support role-play experiential learning. This project examined whether a Virtual Interactive Training Agent (ViTA) system would improve job interviewing skills in individuals with autism and developmental disabilities (N = 32). A linear mixed model was employed to evaluate adjusted least square mean differences of means scores on the Marino Interview Assessment Scale (MIAS) across different time points. The mean score of MIAS over all questions increased between the first ViTA session and the final face-to-face interview. Participants developed the ability to identify strengths, self-promote, self-advocate, answer situational questions, and respond to behavioral/social questions as measured by multiple evaluations using the MIAS. © 2017, Springer Science+Business Media, LLC.</t>
  </si>
  <si>
    <t>vr,mx,asd,game</t>
  </si>
  <si>
    <t>10.1007/s10803-021-04911-2</t>
  </si>
  <si>
    <t>Characterizing Available Tools for Synchronous Virtual Assessment of Toddlers with Suspected Autism Spectrum Disorder: A Brief Report</t>
  </si>
  <si>
    <t>The COVID-19 pandemic, and associated social distancing mandates, has placed significant limitations on in-person health services, requiring creative solutions for supporting clinicians engaged in the diagnosis of autism spectrum disorder (ASD). This report describes the five virtual instruments available at the time of manuscript development for use by experienced clinicians making diagnostic determinations of ASD for toddlers across the 12- to 36-months age range. We focus on synchronous virtual assessments in which clinicians guide the child’s caregiver through a range of assessment activities and observe spontaneous and elicited behaviors. Assessments are compared on dimensions of targeted behavioral domains, specific activities and presses employed, scoring approaches, and other key logistical considerations to guide instrument selection for use in varied clinical and research contexts. © 2021, The Author(s), under exclusive licence to Springer Science+Business Media, LLC part of Springer Nature.</t>
  </si>
  <si>
    <t>10.1007/s10803-023-05975-y</t>
  </si>
  <si>
    <t>Time-Based and Event-Based Prospective Memory in Adults with Autism Spectrum Disorder: A Virtual Week Investigation</t>
  </si>
  <si>
    <t>Purpose: Autism spectrum disorder (ASD) is a complex developmental condition including persistent challenges with social communication, restricted interests, and repetitive behavior. Though prospective memory failures are commonly observed in ASD population it has been less studied among adults with ASD. Prospective memory (PM) refers to the execution of delayed intentions. There are contradictory findings of regular and irregular prospective memory task among autistic adults. The present study is an attempt to investigate prospective memory performance among adults with autism spectrum disorder using the Virtual Week board game. Method: Virtual Week (Rendell &amp; Craik, 2000) (3-day Version) is a computerized board game in which participants after rolling a die move token clockwise around the board. Each round of the board represents one virtual “day.” Adults between 16 and 25 years of age who were diagnosed with ASD (N = 23) were compared with non-ASD (N = 26) adults. Results: Analyses of variance were used to analyze the data. Results revealed that autistic adults as compared to normal adults showed poorer performance on time-based task than on event-based task. A significant difference was evident between regular and irregular prospective memory tasks across both tasks among autistic adults. Results also revealed that ASD difficulties are associated with the prospective component of the irregular task. Conclusions: Prospective memory failures are widely observed in ASD group, and have important implications for functional independence. The findings of this study provide insight into prospective memory challenges that adults with autism spectrum disorder face in a daily basis. © The Author(s), under exclusive licence to Springer Science+Business Media, LLC, part of Springer Nature 2023.</t>
  </si>
  <si>
    <t>ASD, VR, GAME</t>
  </si>
  <si>
    <t>10.1007/s41870-021-00740-9</t>
  </si>
  <si>
    <t>Robot and virtual reality-based intervention in autism: a comprehensive review</t>
  </si>
  <si>
    <t>Autism Spectrum Disorder is a neurological and developmental disorder. Children diagnosed with this disorder have persistent deficits in their social-emotional reciprocity skills, nonverbal communication, and developing, maintaining, and understanding relationships. Besides, autistic children usually have motor deficits that influence their imitation and gesture production ability. The present study aims to review and analyze the current research findings in using robot-based and virtual reality-based intervention to support the therapy of improving the social, communication, emotional, and academic deficits of children with autism. Experimental data from the surveyed works are analyzed regarding the target behaviors and how each technology, robot, or virtual reality, was used during therapy sessions to improve the targeted behaviors. Furthermore, this study explores the different therapeutic roles that robots and virtual reality were observed to play. Finally, this study shares perspectives on the affordances and challenges of applying these technologies. © 2021, Bharati Vidyapeeth's Institute of Computer Applications and Management.</t>
  </si>
  <si>
    <t>vr,asd,game</t>
  </si>
  <si>
    <t>10.1007/s43678-020-00006-6</t>
  </si>
  <si>
    <t>Distraction in the Emergency department using Virtual reality for INtravenous procedures in Children to Improve comfort (DEVINCI): a pilot pragmatic randomized controlled trial</t>
  </si>
  <si>
    <t>Objectives: Intravenous (IV) procedures cause pain and distress in the pediatric emergency department (ED). We studied the feasibility and acceptability of virtual reality distraction for patient comfort during intravenous procedures. Methods: Children were randomized to a control (standard care) or intervention group (standard care + virtual reality). Thresholds for feasibility and acceptability (primary outcomes) were determined through a priori established criteria. The level of procedural pain (principal clinical outcome) and distress, as well as memory of pain at 24 h were collected and reported as medians (Q1, Q3) for each group. Results: 63 patients were enrolled, with a high rate of recruitment (78.8%) and game completion (90.3%). Patients, parents and, healthcare providers reported high satisfaction levels. There were no serious adverse events. Five of the 30 patients (16.7%) exposed to virtual reality reported mild side effects. Self-reported procedural pain (verbal numerical rating scale: 3 (1, 6)/10 vs 3 (1, 5.5)/10, p = 0.75) was similar between groups. Further exploratory clinical measures were reported for the intervention and control groups, respectively: self-rated distress during the procedure (Child Fear Scale: 1 (0, 2)/4 vs 2 (0, 3)/4); distress evaluated by proxy during the procedure (Procedure Behavior Check List: 8 (8, 9)/40 vs 10 (8, 15)/40); memory of pain at 24 h (VNRS: 2 (1, 3)/10 vs 4 (2, 6.5)/10). Conclusion: The addition of virtual reality to standard care is feasible and acceptable for pain and distress management during IV procedures in the pediatric ED. Occasional mild, self-resolving side effects were observed in the intervention group. Self-reported pain during the procedure was similar between groups. ClinicalTrials.gov Identifier: NCT03750578. © 2020, Canadian Association of Emergency Physicians (CAEP)/ Association Canadienne de Médecine d'Urgence (ACMU).</t>
  </si>
  <si>
    <t>10.1016/B978-0-12-822271-3.00006-2.</t>
  </si>
  <si>
    <t>Chapter 11 - Fine motor skills and cognitive development using virtual reality-based games in children,</t>
  </si>
  <si>
    <t>Fine motor skills are an integral part of everyday activities. Children with neurological disorders, such as cerebral palsy and autism spectrum disorder, have problems with fine motor skills, social interaction, and communication. Such children need to repeat a skill to acquire it. Therapy is needed so that children can develop important life skills and be involved in academic activities. However, children need to undergo long sessions of therapy, which will be tedious for them. Physical therapy can therefore be made interactive and motivating by the use of virtual reality-based games. In this chapter, a virtual reality-based serious gaming platform is proposed for fine motor skills and cognitive development of children with special needs. The Unity3D-based virtual reality environment together with a Leap Motion Controller is used to design the rehabilitation games. The Leap Motion Controller with its gesture recognition ability can provide a cohesive platform to improve the life skills of special needs children. The proposed games are developed in such a way that they improve the pincer grasp, intellectual reasoning, and hand–eye coordination of children. More colorful and fun virtual reality games are developed to keep the children engaged for longer. The developed platform is cost effective, remotely accessible, personalized, and physically less painful. The proposed virtual reality game can also be used as an auxiliary tool along with traditional rehabilitation methods.</t>
  </si>
  <si>
    <t>10.1016/j.bspc.2024.106288</t>
  </si>
  <si>
    <t>Analyzing lower body movements using machine learning to classify autistic children</t>
  </si>
  <si>
    <t>Autism spectrum disorder is a neurological disorder that affects children at an early age and its symptoms appear in varying degrees. Early detection of ASD and follow-up of treatment by specialists help improve autistic people's lives and reduce the symptoms they suffer from. In the past few years, a group of studies conducted gait analysis to diagnose children with autism, and although the results of these studies showed weak motor skills of Autism Spectrum Disorder children (ASD) compared to their peers of Typically Developing children (TD), there are some challenges facing researchers in this field. The first is the ability to create A safe, effective, friendly environment that reduces tension in ASD children and helps classify children into ASD/TD effectively. And the second is the ability to create an automated ASD diagnosis system. In this work, a system based on machine learning and augmented reality technology has been proposed to create an effective and friendly interactive environment that helps diagnose ASD and classify children to ASD / TD. The movement of the lower limbs of 15 ASD children and 15 TD children are tracked via a marker-less technique through a Kinect v2 sensor when playing a specific game based on kicking the ball task, that is using augmented reality technology. Then the kinematics features are extracted through Linear Discriminant Analysis technology. To determine these features' ability in the classification process, three machine learning algorithms are used, namely Support Vector Machine, Linear Discriminant Analysis, and Decision Tree. The results showed that the obtained kinematics features can classify children into ASD/TD, where the Support Vector Machine classifier obtained a high accuracy of 96.7% with sensitivity equal to 93.3% and specificity equal to 100%. In addition, the Linear Discriminant Analysis classifier obtained less accuracy of 93.3% with sensitivity equal to 93.3% and specificity equal to 93.3% compared with the Support Vector Machine classifier. Where the Decision Tree classifier obtained the lowest accuracy of 80.0% with sensitivity equal to 73.3% and specificity equal to 86.7% compared with the Support Vector Machine and Linear Discriminant Analysis classifiers. In addition to that, when using Linear Discriminant Analysis to reduce dimensions and extract features, the accuracy, sensitivity, and specificity of the Support Vector Machine classifier were increased and achieved by 100%. Based on these results, it has been proven that the proposed method is effective in classifying children to ASD/TD. © 2024 Elsevier Ltd</t>
  </si>
  <si>
    <t>ASD, GAME, AI, AR</t>
  </si>
  <si>
    <t>10.1016/j.cpr.2022.102213</t>
  </si>
  <si>
    <t>Virtual reality in the diagnostic and therapy for mental disorders: A systematic review</t>
  </si>
  <si>
    <t>Background: Virtual reality (VR) technologies are playing an increasingly important role in the diagnostics and treatment of mental disorders. Objective: To systematically review the current evidence regarding the use of VR in the diagnostics and treatment of mental disorders. Data source: Systematic literature searches via PubMed (last literature update: 9th of May 2022) were conducted for the following areas of psychopathology: Specific phobias, panic disorder and agoraphobia, social anxiety disorder, generalized anxiety disorder, posttraumatic stress disorder (PTSD), obsessive-compulsive disorder, eating disorders, dementia disorders, attention-deficit/hyperactivity disorder, depression, autism spectrum disorder, schizophrenia spectrum disorders, and addiction disorders. Eligibility criteria: To be eligible, studies had to be published in English, to be peer-reviewed, to report original research data, to be VR-related, and to deal with one of the above-mentioned areas of psychopathology. Study evaluation: For each study included, various study characteristics (including interventions and conditions, comparators, major outcomes and study designs) were retrieved and a risk of bias score was calculated based on predefined study quality criteria. Results: Across all areas of psychopathology, k = 9315 studies were inspected, of which k = 721 studies met the eligibility criteria. From these studies, 43.97% were considered assessment-related, 55.48% therapy-related, and 0.55% were mixed. The highest research activity was found for VR exposure therapy in anxiety disorders, PTSD and addiction disorders, where the most convincing evidence was found, as well as for cognitive trainings in dementia and social skill trainings in autism spectrum disorder. Conclusion: While VR exposure therapy will likely find its way successively into regular patient care, there are also many other promising approaches, but most are not yet mature enough for clinical application. Review registration: PROSPERO register CRD42020188436. Funding: The review was funded by budgets from the University of Bonn. No third party funding was involved. © 2022</t>
  </si>
  <si>
    <t>10.1016/j.entcom.2024.100756.</t>
  </si>
  <si>
    <t>Participatory design of augmented reality games for word learning in autistic children: the parental perspective,</t>
  </si>
  <si>
    <t>The use of participatory design (PD) to inform the design of games and learning technology seems to be appropriate for marginalized groups of people, including children with autism. However, specific traits of the autism phenotype can create a barrier in facilitating participation of autistic children during PD activities, especially when their verbal abilities are limited. Involving parents in PD projects can help address challenges related to the communication abilities of the children. We have facilitated the design augmented reality (AR) games by including four autistic children and 9 parents. We analyzed qualitative data using an inductive approach using affinity diagrams and thematic analysis. We present insights from the parents on the use of AR technology and how it can be incorporated at home to enhance word learning activities. We report on (1) a set of five games based on learning by repetition, learning by classification and learning by association; (2) novel insights and knowledge about learning strategies and (3) tools to support autistic children in learning new words. We conclude our study by discussing the relevance of involving parents of autistic children in PD activities, offering design implications.</t>
  </si>
  <si>
    <t>ar,asd,game</t>
  </si>
  <si>
    <t>10.1016/j.humov.2024.103254</t>
  </si>
  <si>
    <t>Characterization of bilateral reaching development using augmented reality games</t>
  </si>
  <si>
    <t>Bilateral coordination is commonly impaired in neurodevelopmental conditions including cerebral palsy, developmental coordination disorder, and autism spectrum disorder. However, we lack objective clinical assessments that can quantify bilateral coordination in a clinically feasible manner and determine age-based norms to identify impairments. The objective of this study was to use augmented reality and computer vision to characterize bilateral reaching abilities in typically developing children. Typically developing children (n = 133) ages 6–17 years completed symmetric and asymmetric bilateral reaching tasks in an augmented reality game environment. We analyzed the number of target pairs they could reach in 50 s as well as the time lag between their hands reaching the targets. We found that performance on both tasks developed in parallel, with development slowing but not plateauing after age 12. Children performed better on the symmetric task than asymmetric, both in targets reached and with shorter hand lags. Variability between children in hand lag decreased with age. We also found gender differences with females outperforming males, which were most pronounced in the 10–11 year olds. Overall, this study demonstrates parallel development through childhood and adolescence of symmetric and asymmetric reaching abilities. Furthermore, it demonstrates the ability to quantify bilateral coordination using computer vision and augmented reality, which can be applied to assess clinical populations. © 2024 Elsevier B.V.</t>
  </si>
  <si>
    <t>10.1016/j.ifacol.2024.11.037</t>
  </si>
  <si>
    <t>Evaluation of Emotional Everyday Scenarios for the Development of a Digital Health Application</t>
  </si>
  <si>
    <t>In our everyday lives, there are numerous situations that are based on social interactions. This can be challenging for individuals who experience social interactions as demanding, such as persons with autism spectrum disorders (ASD). Hence, it can be helpful to practice challenging situations with role-playing or digital simulations. Digital applications could therefore be helpful to create an appropriate training environment for people with ASD. For the development of such a therapeutic application, it is first necessary to identify suitable emotion-related scenarios. Therefore, an online study was conducted. In total, 60 participants (35 female; M = 30.47 years old) participated in the study. Four different scenarios of social interaction, each of them using four different levels of complexity, were presented. The results show that the emotional assessments (positive and negative) as well as the perceived safety within the social interaction of the different scenarios vary among the different levels of complexity. © 2024 The Authors. This is an open access article under the CC BY-NC-ND license.</t>
  </si>
  <si>
    <t>10.1016/j.ifacol.2024.11.079.</t>
  </si>
  <si>
    <t>Exploring Virtual Reality Avatars: Assessing Basic Emotion Representations for Mental Health Applications,</t>
  </si>
  <si>
    <t>The importance of digitalization is increasing fast and has also found its way into medicine and therapeutic applications. Serious Games represent a category of interactive digital or analog games that can be used for this purpose. The use of new technologies such as virtual reality (VR) or virtual characters like avatars can have a supportive effect especially for people who perceive social interactions as challenging, which often occurs for people with autism spectrum disorders (ASD). Therefore, a study was conducted to evaluate three different types of avatars as well as their representation of the six basic emotions and a neutral category. Overall, 14 men and 9 women (M = 34.09 years old) participated in the study. The results show that the representation of the basic emotions was assessed significantly different for the different avatar types. Furthermore, differences regarding how well the target emotions were met were shown. Overall, the study results can help to identify suitable types of avatars to include it into future emotion-related scenarios of social interaction. Keywords: Avatars, Basic emotions, Evaluation, Mental health, Autism Spectrum Disorders (ASD).</t>
  </si>
  <si>
    <t>ASD,GAME, VR</t>
  </si>
  <si>
    <t>10.1016/j.ijcci.2024.100683</t>
  </si>
  <si>
    <t>Improved socio-emotional skills in students with autism spectrum disorder (ASD) following an intervention supported by an augmented gamified environment</t>
  </si>
  <si>
    <t>This study examines the impact of an intervention using an Augmented Gamified Environment (AGE) to stimulate socio-emotional skills in a sample of 54 subjects with Autism Spectrum Disorder (ASD) aged between 3 and 17 years old. The study used a quantitative, exploratory, analytical methodology. Socio-emotional skills were evaluated before and after intervention (pre-posttest) using the DiagnosticApp instrument, supported by a fun app. The study specifically analyzed their ability to identify primary and secondary emotions and emotional states, as well as the cause-effect relationship linked to a context. The results show that socio-emotional skills improved after the intervention, regardless of gender, age, degree of ASD, comorbidity, or type of language. Overall, the greatest improvement was in identifying both primary and secondary emotions through recognizing facial expressions. Additionally, as expected, older students, and those with less severe ASD and more functional language exhibited higher scores in their socio-emotional skills. In conclusion, the extrinsic motivation associated with the mix of game mechanics, dynamics, and aesthetics, along with the augmented reality resources making up the AGE, are key contributing elements in improving these students’ socio-emotional skills. © 2024 The Author(s)</t>
  </si>
  <si>
    <t>ASD, GAME, AR</t>
  </si>
  <si>
    <t>10.1016/j.ijhcs.2021.102734</t>
  </si>
  <si>
    <t>Design of a toolkit for real-time executive function assessment in custom-made virtual experiences and interventions</t>
  </si>
  <si>
    <t>Virtual Reality (VR) and other game-like experiences are popular intervention platforms in neurocognitive rehabilitation research. Executive Functions (EF), the cognitive processes that regulate attention and goal-oriented action, are recognized as a domain of concern in several congenital and acquired neurocognitive conditions (e.g.: ADHD, autism, addiction, cognitive decline, traumatic brain injury, and stroke). VR-based simulations of real-world tasks have shown potential for rehabilitation in independent functioning. The custom nature of such projects makes cross-intervention analysis difficult and complicates development of best-practices. We have designed a toolkit for building virtual interactions that can consistently replicate traditional cognitive tests (such as the Wisconsin Card Sorting Task and Multitasking Task) as well as extend to more complex tasks in any virtual context. Analysis of participant performance data between traditional tasks and these VR replications may indicate the toolkit can successfully replicate traditional measures while also extending into more complex contexts. © 2021</t>
  </si>
  <si>
    <t>brain, skin</t>
  </si>
  <si>
    <t>10.1016/j.ijhcs.2023.103032.</t>
  </si>
  <si>
    <t>FaceMe: An agent-based social game using augmented reality for the emotional development of children with autism spectrum disorder,</t>
  </si>
  <si>
    <t>Children with autism spectrum disorder (ASD) experience impaired emotional development, which severely affects their social communication. Although some assistive technologies are effective in helping children with ASD to improve their social skills, they are generally considered to be unable to engage children in real-world social situations. This paper presents “FaceMe,” which is a virtual agent social game based on an augmented reality (AR) technology that supports children's emotional development. FaceMe uses a virtual agent, a set of tangible toolkits, and multilevel game mechanics to teach children about basic facial expressions in social scenarios and improve their emotional and communication skills. Empirical results show that the FaceMe virtual agent evoked active social behaviors in children with ASD who subsequently improved their ability to understand facial expressions. The FaceMe design guidelines for creating the virtual agent in the context of AR are presented, which opens up an interesting domain for future games using AR to support children's learning.</t>
  </si>
  <si>
    <t>10.1016/j.jped.2025.101452.</t>
  </si>
  <si>
    <t>Myths and facts in the treatment of neurodevelopmental disorders – other therapies,</t>
  </si>
  <si>
    <t>Objective
 To critically examine the effectiveness of complementary and alternative therapies (CATs) in the treatment of neurodevelopmental disorders, distinguishing myths from evidence-based practices and supporting informed therapeutic decision-making for healthcare professionals, educators, and families.
 Data sources
 Evidence was collected from PubMed, Scopus, and Web of Science up to August 2025. Systematic reviews, meta-analyses, and international consensus statements addressing attention-deficit/hyperactivity disorder (ADHD), autism spectrum disorder (ASD), specific learning disorders, communication and language disorders, intellectual disability, and developmental coordination disorder were included.
 Summary of findings
 Interest in interventions such as neurofeedback, transcranial direct current stimulation, music therapy, equine-assisted therapy, virtual reality, and gamification has grown substantially. However, most of these approaches lack methodological standardization and robust evidence to justify their use as primary treatments. Some demonstrate modest benefits as adjunctive strategies, especially when integrated into structured programs and supervised by multidisciplinary teams. Conversely, therapies including acupuncture, ozone therapy, and hyperbaric oxygen therapy present insufficient scientific support and should not be considered substitutes for validated methods.
 Conclusion
 Complementary and alternative therapies remain a topic of significant debate in the management of neurodevelopmental disorders. While certain approaches may offer limited adjunctive benefits, their clinical use should be carefully evaluated within evidence-based frameworks. The development of rigorous evaluations, standardized protocols, and the safe integration of innovative technologies is essential to optimize therapeutic outcomes without compromising access to scientifically validated interventions.</t>
  </si>
  <si>
    <t>10.1016/j.neubiorev.2022.104683</t>
  </si>
  <si>
    <t>Extended Reality (XR) and telehealth interventions for children or adolescents with autism spectrum disorder: Systematic review of qualitative and quantitative studies</t>
  </si>
  <si>
    <t>World Health Organization reported that almost one in 100 children is diagnosed with autism spectrum disorder (ASD) worldwide. Extended Reality (XR) and Telehealth interventions are evident to be effective for ASD treatments. While there is no comprehensive systematic review to summarize and evaluate the evidence for promoting the accessibility of different technology-based treatment regiments. This paper aims to verify the efficacy and validity of XR and Telehealth interventions for children and adolescents with ASD. We reviewed 112 studies from databases of PubMed, Web of Science and Cochrane Library, published in English between January 2010 to April 1st, 2022. We found that after interventions, positive improvements for ASD participants were observed in social interaction, acceptance, and engagement, communication and speech, emotion recognition and control, daily living skill, problem behavior reduction, attention, cost reduction, anxiety symptom reduction, pretend play, contextual processing, match to sample skill, and insomnia control. Our findings provide a solid and positive evidence of XR and Telehealth interventions in improving the treatment outcomes for children and adolescents with ASD. In the future, more research with RCTs and standardized outcome measurements are required to establish the therapeutic efficiency of the two interventions independently or combined. © 2022 Elsevier Ltd</t>
  </si>
  <si>
    <t>10.1016/j.procs.2018.07.220.</t>
  </si>
  <si>
    <t>Enhancing the Attractiveness of Learning through Augmented Reality,</t>
  </si>
  <si>
    <t>Over the last years, augmented reality was used in various domains, from medical, industrial design, modeling and production, robot teleoperation, military, entertainment, leisure activities to translation, facial recognition, assistance while driving, interior and exterior design, virtual friends, internet of things and eLearning. In eLearning, the combination between classical and augmented content (the later coming with 3D models, images, sounds, animations, Internet browsing, etc.) can help the teacher to better explain the content of the courses. In this paper, we present four augmented reality applications, created with the aim to improve communication and collaboration skills (two of them) and to ease the learning of biology and geography (the other two). The motivation behind these applications is to enhance the attractiveness of the classes, allow students to retrain new information more easily and reduce the stress behind tests when presented as games.</t>
  </si>
  <si>
    <t>ASD,AR, GAME</t>
  </si>
  <si>
    <t>10.1016/j.rasd.2024.102494</t>
  </si>
  <si>
    <t>Virtual reality interview with feedback framework for situational practice of gaze among autistic adults</t>
  </si>
  <si>
    <t>Background: Autistic individuals commonly seek employment; however, only a small fraction are in the workforce. In part, this might be due to mismatches between their social patterns of attention and gaze, and society's normative expectations during interviews. Method: To help mitigate such disadvantages through a solo situational practice tool, we present a framework that consists of a virtual reality (VR) based job interview simulation and a coaching component. Employing data visualization, video modeling, and VR role-play of the targeted behavior, the coaching support could be done in a self-deliverable practice manner. A participatory design session with two autistic design partners was important in the co-creation of the feedback methods, making them easier to understand, and including positive reinforcement. Results: Fourteen autistic individuals used the VR job interview simulation tool. Eleven received the gaze analysis and support stage and participated in a second VR simulation session. Preliminary results were positive, in that participant scores on average eye contact duration, average time without eye contact, and percentage of eye contact while listening and while speaking generally approached the corresponding medians of the non-autistic reference dataset. Participants were surveyed about the utility of the tool after the second feedback session and two months later. All survey respondents perceived the tool to be useful and the provided feedback to be helpful in daily social interactions. Conclusions: This study provides insights towards the development of a VR job interview simulation and feedback framework that can enable solo situational practice of gaze and common interview questions. © 2024 Elsevier Ltd</t>
  </si>
  <si>
    <t>10.1016/j.rh.2023.100820.</t>
  </si>
  <si>
    <t>Estrategias de intervención motora sobre el control postural en niños y jóvenes con trastorno del espectro autista: una revisión sistemática,</t>
  </si>
  <si>
    <t>Resumen
El trastorno del espectro autista (TEA) posee características variadas con un impacto a nivel social, comunicativo y sensoriomotor (SM). Una característica SM son los problemas sobre el control postural (CP). Variadas son las estrategias de intervención motora (EIM), pero el beneficio sobre el CP es algo que se ha analizado de forma menos amplia. El objetivo fue describir las EIM y sus resultados sobre el CP de niños y adolescentes con TEA. Se realizó una búsqueda en PubMed, Scopus, Web of Science y Cochrane. Un total de ocho artículos cumplieron con los criterios de elegibilidad. Todas las EIM mostraron resultados beneficiosos sobre el mejoramiento del CP y fueron de diferente naturaleza (práctica de bailes, actividad física personalizada, videojuegos, Tai Chi Chuan, Taekwondo y realidad virtual). Es necesario mejorar los diseños y considerar los riesgos de sesgos, pues limitan el alcance de los resultados.
Autism spectrum disorder (ASD) has varied characteristics with an impact at the social, communicative and sensorimotor (SM) level. An SM feature is postural control (PC) problems. There are various motor intervention strategies (MIS), but the benefit over LC is something that has been analyzed less extensively. The objective was to describe the MIS and its results on the PC of children and adolescents with ASD. A search of PubMed, Scopus, Web of Science and Cochrane was performed. A total of eight articles met the eligibility criteria. All MIS showed beneficial results on the improvement of PC. The MIS were of a varied nature (dance practice, personalized physical activity, video games, Tai Chi Chuan, Taekwondo and virtual reality). It is necessary to improve the designs and consider the risks of bias, since they limit the scope of the results.</t>
  </si>
  <si>
    <t>skin</t>
  </si>
  <si>
    <t>10.1016/j.scog.2024.100320</t>
  </si>
  <si>
    <t>Assessment of body Schema distortions in early-onset schizophrenia</t>
  </si>
  <si>
    <t>Distorted body representations play a major role in the onset and maintenance of Schizophrenia. However, these distortions are difficult to assess because explicit assessments can provoke intense fears about the body and require a good insight. We proposed an implicit motor imagery task to a 14-year-old girl with Early-Onset Schizophrenia. The test consisted of presenting different openings varying in width. For each aperture, the young girl has to say if she could pass through without turning her shoulders. A critical aperture is determined as the first aperture for which she considered she could no longer pass, compared to her shoulders' width. The girl perceived herself as 51 % wider than she was, indicating a significant oversized body schema. The implicit assessments of body schema generate less anxiety and does not require a great level of insight; moreover, those are promising tools for early detection of disease in prodromal phases of Schizophrenia and assistance with differential diagnosis. © 2024</t>
  </si>
  <si>
    <t>ASD,VR,GAME</t>
  </si>
  <si>
    <t>10.1063/5.0205764</t>
  </si>
  <si>
    <t>Integrating of Augmented Reality and Sensor Technologies For Autism Spectrum Disorder Therapies</t>
  </si>
  <si>
    <t>Among various technological advances today, one of them is IoT (Internet of Things) which has been widely used in everyday life. IoT can make everything around us connected to the internet. At the same time, Augmented Reality is a technology that can combine three-dimensional virtual objects into the environment or the real world so that these objects appear more authentic. The two technologies can be integrated, which will then be applied in the game for autistic child therapy. The IoT-based technology used in this study is RFID (Radio Frequency Identification). Utilizing the RFID card, which will later be modified into a picture card in the game for autistic child therapy, is expected to help autistic children train their sensory and motor skills and interact with the characters in the game's three-dimensional form. Based on the results of the overall percentage of the learnability questionnaire, it can be concluded that 87.5% of respondents strongly agree, the results of the percentage of the overall efficiency questionnaire can be concluded that 84.67% of respondents strongly agree, then on the results of the percentage of the questionnaire memorability overall, it can be concluded that 82.22% of respondents strongly agree and the results of the percentage of satisfaction questionnaires as a whole, it can be concluded that 88.89% of respondents strongly agree. © 2024 American Institute of Physics Inc.. All rights reserved.</t>
  </si>
  <si>
    <t>AR, GAME, ASD</t>
  </si>
  <si>
    <t>10.1080/10447318.2025.2594146</t>
  </si>
  <si>
    <t>Applying Multisensory Dyadic Play with Augmented Reality and Symbolic Representation to Enhance Emotional Awareness and Expression in Autistic Children</t>
  </si>
  <si>
    <t>Autistic children often experience challenges with emotional self-awareness and expression, limiting their ability to regulate emotions or communicate internal states. Traditional interventions emphasize external behavioral imitation but seldom address internal emotional processing. This study developed a three-stage, game-based intervention integrating augmented reality, tangible objects, and vibrotactile feedback to foster emotional awareness. Grounded in metacognitive embodied learning principles, the intervention guided autistic participants through tactile exploration, symbolic scenario construction, and reasoning surrounding emotional transitions. Four autistic participants aged 8–9 took part in a single-subject multiple-baseline design. Evaluation tools included the Social–Emotional Assessment Test, the Behavioral and Emotional Observation Scale, and parent reports across the baseline, intervention, and maintenance phases. Results suggest preliminary improvements in emotional recognition, symbolic vocabulary use, and perspective-taking, with emerging ability to associate bodily sensations with emotional vocabulary. Findings provide preliminary evidence that combining AR with multisensory dyadic play may support emotional competencies in autistic children. © 2025 Taylor &amp; Francis Group, LLC.</t>
  </si>
  <si>
    <t>10.1080/10494820.2022.2146139</t>
  </si>
  <si>
    <t>Virtual reality enhances the social skills of children with autism spectrum disorder: a review</t>
  </si>
  <si>
    <t>Virtual reality (VR) technology has shown great potential on intervention of social skills for children with autism spectrum disorder (ASD). This review aimed to review the application of VR in current social skills intervention targeting autistic children and evaluate its effect. After searching and screening three databases, we found 20 papers on interventions for children with ASD using VR technology, including three studies of social communication, six studies about social–emotional reciprocity, nine studies on social interaction, and eight studies of on social cognition. First, concerning the age of the children involved in the interventions, we found that VR devices were more suitable for children with ASD who were older. Second, regarding VR devices, we recommend laptop VR devices based on the cost, non-invasiveness, and effectiveness of their use in interventions. The VR application form of game is more advisable. More importantly, for the design of the VR intervention, based on the adoption article, we found that using a single participant worked better. This research presents the overall effects and limitations of this literature as well as implications for future work. © 2022 Informa UK Limited, trading as Taylor &amp; Francis Group.</t>
  </si>
  <si>
    <t>10.1080/17482798.2025.2594476</t>
  </si>
  <si>
    <t>Parent and clinician perspectives on the ethics of extended reality technologies for neurodivergent children in the U.S.</t>
  </si>
  <si>
    <t>There has been rapid market growth in recent years for extended reality (XR) technologies (e.g. virtual reality), in part driven by adoption among families with children. There are, however, practical and ethical challenges related to these devices and applications for young people’s learning, leisure, and health. Risks and benefits may be particularly acute for neurodivergent youth, and specifically those with a diagnosis of autism and/or attention-deficit/hyperactivity disorder (ADHD). Mediation theories highlight the importance of both parents and clinicians (e.g. behavioral therapists, speech-language pathologists) in the regulation, management, and supervision of neurodivergent children’s technology use. As such, we conducted two 90-minute focus groups with 12 parents of and clinicians who work with neurodivergent children aged 8–13 to understand how these stakeholders understand XR and its ethical dimensions. Findings indicate both positive and negative attitudes towards hypothetical depictions of child XR use, while recognizing the many factors influencing potential outcomes for the neurodivergent child population. In evaluating the broader XR landscape, participants noted several issues of ethical complexity, including adult responsibility for neurodivergent children’s XR use and unknown XR effects and risks. We discuss our results relative to existing theory and prior work, practical implications, and future research directions. © 2025 Informa UK Limited, trading as Taylor &amp; Francis Group.</t>
  </si>
  <si>
    <t>VR, AR, ASD, GAME</t>
  </si>
  <si>
    <t>10.1080/21622965.2019.1610964</t>
  </si>
  <si>
    <t>Innovative use of virtual reality in autism spectrum disorder: A case-study</t>
  </si>
  <si>
    <t>Autism Spectrum Disorders (ASDs) are developmental disorders affecting communication and behavior. ASD incidence in the world population is about 1%, with a 4:1 ratio between males and females. In clinical practice, ASDs have been usually treated with cognitive-behavioral approaches, involving a face-to-face interaction with the therapist. Over the last years, virtual reality (VR) has played an important role in neurorehabilitation, even for ASD cognitive treatment. A 16-year-old boy with severe ASD and his caregiver were enrolled in the study. Two different cognitive trainings were administered; first, the boy was submitted to one-month cognitive behavioral therapy (CBT); then, after one month of rest, a combined approach using VR (by means of the BTS-Nirvana System) and CBT was applied. Only the combined approach provided an improvement in attention processes and spatial cognition skills, with a significant reduction of ideomotor stereotypes. According to this experience, the use of VR in addition to CBT could be a useful and promising tool to improve cognitive function in individuals severely affected by ASD. © 2019 Taylor &amp; Francis Group, LLC.</t>
  </si>
  <si>
    <t>brain, body movement</t>
  </si>
  <si>
    <t>10.1088/1742-6596/1235/1/012104</t>
  </si>
  <si>
    <t>Implementation of Augmented Reality in Pretend Play Therapy for Children with Autism Spectrum Disorder</t>
  </si>
  <si>
    <t>Autism Spectrum Disorder is a pervasive developmental disorder that will affect children in terms of interpersonal communication, social interaction, and imaginative levels in play. Many therapies to help the motor neuron performance is one of them Pretend Play. Pretend Play is a therapy that invites children in playing to demonstrate something else and tell how to use objects that are considered in the child's imagination. However, in the era of highly developed technology, many fields have used the Augmented Reality method as a visualization of various aspects. With this method researchers will present the therapeutic visualization of the block to 3D transportation tool that is useful for strengthening motor nerves and visual strength of the child. The system can run well during marker detection, marker movement, and 3D object display with the accuracy of precision angle and distance between virtual world with real world reach 100% with angle 0 at distance 31 cm and the maximum distance from the marker is 46 cm and the maximum angle is 30. © 2019 Published under licence by IOP Publishing Ltd.</t>
  </si>
  <si>
    <t>10.1088/1742-6596/978/1/012040</t>
  </si>
  <si>
    <t>Augmented reality social story for autism spectrum disorder</t>
  </si>
  <si>
    <t>Augmented Reality is a technique that can bring social story therapy into virtual world to increase intrinsic motivation of children with Autism Spectrum Disorder(ASD). By looking at the behaviour of ASD who will be difficult to get the focus, the lack of sensory and motor nerves in the use of loads on the hands or other organs will be very distressing children with ASD in doing the right activities, and interpret and understand the social situation in determining a response appropriately. Required method to be able to apply social story on therapy of children with ASD that is implemented with Augmented Reality. The output resulting from this method is 3D animation (three-dimensional animation) of social story by detecting marker located in special book and some simple game which done by using leap motion controller which is useful in reading hand movement in real-time. © Published under licence by IOP Publishing Ltd.</t>
  </si>
  <si>
    <t>10.1089/g4h.2023.0240</t>
  </si>
  <si>
    <t>The Impact of Virtual Reality Intervention on Emotion Regulation and Executive Functions in Autistic Children</t>
  </si>
  <si>
    <t>Introduction: Autistic children may encounter difficulties in managing emotions and executive functions (EFs), which can contribute to mental and health challenges. Recognizing physical activities as a potential strategy for enhancing emotion regulation (ER), this study aims to investigate the efficacy of a virtual reality (VR)-based physical exercise program in improving ER and EFs among children with autism spectrum disorder (ASD). Materials and Methods: Forty boys diagnosed with ASD, aged 7 to 10 years, were randomly assigned to two groups: a VR intervention group (n = 20) and a control group (n = 20). The intervention group participated in a VR program, while the control group solely concentrated on engaging in sedentary and inactive video gaming. EFs were evaluated through the utilization of both the flanker task and the Wisconsin card sorting task, both administered initially at baseline and subsequently after an 8-week interval. In addition, the parents of the children completed the Emotion Regulation Checklist to evaluate their ER skills. Results: According to the results, a significant difference was observed between the two groups in terms of EFs and the ability to regulate emotion (P &lt; 0.05). The intervention group demonstrated a notable improvement in ER skills and exhibited superior executive functioning abilities compared with the control group. Conclusion: It appears that VR exercises can serve as a preliminary trial to enhance EFs and ER in children with autism. In addition, they may prove effective as complementary interventions to traditional educational strategies in preventing future challenges associated with ASD. © 2025, Mary Ann Liebert, Inc., publishers.</t>
  </si>
  <si>
    <t>10.1109/CoG57401.2023.10333176</t>
  </si>
  <si>
    <t>Differences in visual-proprioceptive accuracy and visuomotor performance in immersive virtual reality and the physical world: a pilot study</t>
  </si>
  <si>
    <t>Autistic individuals commonly experience visuomotor integration (VMI) difficulties that impact upper extremity movements such as goal-directed throwing, which commonly exists in everyday activities and movement-based games. Autistic individuals often show superior ability towards visual details and inefficient global visual information processing, leading to incongruent VMI. Virtual reality (VR) provides adequate and accurate eye and hand movement data and allows readily individualized design, making it a good option for VMI assessment and potential game-based VMI intervention for autistic individuals. We conducted a pilot study with eight non-autistic young adults comparing visual-proprioceptive accuracy and VMI in VR and in an equivalent physical environment (PE) using a spatial estimation task and a goal-directed throwing task. We observed reduced visual and visual-proprioceptive accuracy in VR compared to PE. Success rates of throwing were lower in VR, with more gaze scanning of the environment and shorter fixation duration on task-relevant objects. Participants spent a longer time preparing for movement execution and had higher hand velocity at release in VR. Subsequent research will compare visual-proprioceptive accuracy and VMI between VR and PE in autistic individuals and explore their relationship with autistic traits. © 2023 IEEE.</t>
  </si>
  <si>
    <t>GAME, VR, ASD</t>
  </si>
  <si>
    <t>eye, body movement</t>
  </si>
  <si>
    <t>10.1109/CVR55417.2022.9967646</t>
  </si>
  <si>
    <t>Shopping Training to Autistic Children and Adolescents for Enhancing Daily Life Shopping Skills using Virtual Reality and Leap Motion</t>
  </si>
  <si>
    <t>The aim of the study is to measure the effectiveness of training children and adolescents with Autism Spectrum Disorder (ASD) by using Virtual Reality (VR). The process is formulated as a game visualizing one of the daily life skills; shopping skills. It allows the user to select the products needed and pay for it, using a Head Mounted Display (HMD) and Leap Motion sensor for more immersion and realistic experience, to help them live more independent life. An existing cafeteria was modeled to be the training environment in virtual reality, and to have a pre and post assessment for results measure. Study participants were 11 children and adolescents recruited with certain criteria. © 2022 IEEE.</t>
  </si>
  <si>
    <t>10.1109/ECICE52819.2021.9645737</t>
  </si>
  <si>
    <t>A VR-based Training and Intelligent Assessment System Integrated with Multi-modal Sensing for Children with Autism Spectrum Disorder</t>
  </si>
  <si>
    <t>Autism Spectrum Disorder (ASD) exhibits social communication and social interaction disorders, and abnormal restrictive and repetitive behaviors. However, symptoms of infants less than 1-year-old are difficult to reliably predict subsequent diagnosis. Patients with mild ASD may not be discovered until school age, because schools have more opportunities for social activities. In addition, the therapist also needs to consider the labor cost. To provide effective treatment, it also needs to consume more resources. The current situation in Taiwan is that outlying islands and remote areas often have insufficient manpower for therapists. If VR technology can be applied, some of the problems may be solved. However, due to the global pandemic, COVID-19, early treatments or group treatments in many countries have been forced to stop. If VR technology can provide interpersonal interaction scenes, the training of ASD children can hardly be affected.This research uses Virtual Reality (VR) technology, combined with wearable multi-model sensing technology, including EEG, eye tracking, heart rate variability (HRV), and breath-sensing strap. Physiological signals and game performance data are collected while users are training, and integrate multiple evaluation scales such as ADOS, SRS, and CBCL. Statistical analysis of these data is performed to classify them through machine learning models to develop a VR assistance system that can be used to evaluate the diagnosis, severity, and social behavior treatment of ASD. This system presents assessment and therapy in a game-oriented way. In addition to enhancing the incentives for users to participate, it provides better training results than traditional training. It is also an effective and convenient tool for the therapist to use during evaluation and training. © 2021 IEEE.</t>
  </si>
  <si>
    <t>GAME, VR, ASD, AI</t>
  </si>
  <si>
    <t>brain, heart, breath</t>
  </si>
  <si>
    <t>10.1109/FIE44824.2020.9273818</t>
  </si>
  <si>
    <t>Tracking Representational Flexibility Development through Speech Data Mining</t>
  </si>
  <si>
    <t>In this work-in-progress research we exploited and investigated a virtual reality (VR) based, flexibility learning environment (FLE) in which adolescents with autism use, customize, and design an assortment of simulation games that represent and exemplify the application of forces and Newton's laws of motion. The simulation/game modeling and making tasks acted as the primers of practicing and assessing representational flexibility in solving the engineering design problems with computational thinking. The participants' participation behaviors and verbal utterances during the intervention sessions have been archived via screen and webcam recordings. The current study findings indicated that two approaches of speech or text data mining, multi-label classification and similarity index, can act as the in-situ performance assessment methods to evaluate the representational flexibility development for engineering design and computational thinking of a heterogeneous learner group. © 2020 IEEE.</t>
  </si>
  <si>
    <t>10.1109/I2CT61223.2024.10543652</t>
  </si>
  <si>
    <t>This research paper explores the efficacy of a virtual reality (VR) environment in enhancing learning outcomes for children with autism through a game-based approach. The study uses VR technology to create a more immersive and tailored educational experience for autistic children. The implications of this study are substantial, as they introduce a new and comprehensive approach to education for autistic children. The findings on the synergy between VR technology and personalized learning offer insights into how these components contribute to improved learning outcomes and increased engagement. As VR technology progresses, this research examines how VR can be effectively utilized as an inclusive educational strategy for children with autism.</t>
  </si>
  <si>
    <t>10.1109/I4C57141.2022.10057738</t>
  </si>
  <si>
    <t>Augmented Reality Applications for Special Kids</t>
  </si>
  <si>
    <t>As there is no medical test to detect some of the particular needs, there is much work to be done when it comes to caring for special children who have neuro-developmental disorders. Learning difficulties and poor social skills are special needs children's main problems. They are unable to converse like people in the physical world do. They can learn skills more effectively by using an augmented reality or augmented world to build these skills. It lessens the dread of close relationships. They employ virtual and augmented reality to hone their talents and as a platform for phobia therapy. Through the stimulation of augmented reality, these technologies provide children with straightforward techniques that help them become aware of and accepting of the real physical world. The understanding of concepts is enhanced when Augmented Reality (AR) and Virtual Reality (VR) are used in the teaching of special needs children. The stimulation of the real world and its objects, as opposed to learning from outdated or domestic teaching methods, can improve the experience of learning, understanding, and applying the knowledge or discipline gained from a process in the real world without the fear of being incorrect and by reducing the margin for error. This results in a child to have a regular life and a good education. In this work we have created an application using unity, vuforia, C#, android studio. Audio implemented in this app helps the children to learn the scenarios in English and Kannada. This app helps the parents and care taker to teach social behaviour to special children.</t>
  </si>
  <si>
    <t>AR, VR, ASD, GAME</t>
  </si>
  <si>
    <t>10.1109/ICAIBD57115.2023.10206343</t>
  </si>
  <si>
    <t>Reinforcement Learning Approach for Dialogue Management to Aid Child-Robot Interaction in ASD Screening</t>
  </si>
  <si>
    <t>This paper investigates how Q-learning, State Action Reward State Action (SARSA), and Deep Q Networks (DQN) algorithms in Reinforcement Learning (RL) are used for dialogue management in a child-robot interaction system. Based on observations of the child’s behavior and response to questions, the system determines how to structure the next question to maintain the child’s engagement in a dialogue that is developed based on Autism Diagnostic Observation Schedule (ADOS). To accomplish this, a virtual environment is created to simulate interactions between the child and the robot, allowing for the development of an initial model that can be refined and tested in the real world. This paper presents how robust a DQN is to withstand an increasing variety of questions in dialogues. Further, it has been found SARSA is the fastest converging algorithm to learn the optimal policy for such interactions.</t>
  </si>
  <si>
    <t>10.1109/ICCCNT56998.2023.10308029</t>
  </si>
  <si>
    <t>Development of an Augmented Reality based Joint Attention Training Platform for Autistic Children</t>
  </si>
  <si>
    <t>Joint Attention (JA) is a major deficit in children with Autism Spectrum Disorder (ASD). Providing an early intervention is crucial as a lack of JA ability affects social communication skills in adult life. With the advent of technology, there has been a lot of development in JA skill training using computers and mixed-reality devices. Augmented Reality (AR) is increasingly being used for healthcare applications due to its ability to provide an interactive and engaging user experience. Currently there has been little exploration of AR as a medium for JA skill training. To address this problem, we have developed an AR based JA training platform using Microsoft Hololens 2 Head Mounted Display (HMD) with an inbuilt eye-tracker. This platform aims to gamify the process of JA skill training. It uses only gaze fixations for interaction, allowing users to practice their gaze-sharing and visual communication abilities. The user's performance is recorded based on the correctness of their gaze response and the duration to register a valid gaze response. To determine the effectiveness of our platform and its feasibility for delivering JA skill training, we have performed a pilot study involving 4 ASD and 4 age-matched neurotypical developing (NT) children. Observations from this feasibility study shows participants diagnosed with ASD took significantly more time to follow a JA cue and register a response as compared to their NT counterparts. This study also shows the acceptance of the AR based JA platform by both the ASD and NT participants to perform JA exercises and provides insights to further develop this platform. © 2023 IEEE.</t>
  </si>
  <si>
    <t>GAME, AR, MR, ASD</t>
  </si>
  <si>
    <t>10.1109/ICICV50876.2021.9388374</t>
  </si>
  <si>
    <t>Towards Development Of A Virtual Reality Game For Children With Autism Spectrum Disorder</t>
  </si>
  <si>
    <t>Children suffering from ASD or disorders with similar symptoms find it cumbersome to efficaciously develop, use and polish their cogent, motor, communication and cognitive skills which might come easily to other children belonging to the same age bracket. Not only does it thwarts their development but also affects them on a psychological level by causing abasement and lowering their morale. The paper tries to assay the crucial areas of concern, the requirements of these children and frailty of conventional education system in filling the bill. The paper subsequently tries to pinpoint the flaws and circumvent them while satisfying the desideratum using ingenious solutions morphed in the form of a casual game.</t>
  </si>
  <si>
    <t>10.1109/ICIVC61627.2024.10837236</t>
  </si>
  <si>
    <t>Recent advances in machine learning have significantly impacted medical applications, particularly for autism. Virtual Reality (VR) provides a controlled environment for social interaction interventions in children with Autism Spectrum Disorder (ASD). However, these environments pose challenges due to the high demands for data transfer and processing. This study investigates the integration of edge computing with machine learning to effectively and accurately identify ASD behavioral characteristics in VR settings, particularly under limited network bandwidth conditions. We present an optimized distributed algorithm designed to reduce the time and energy required for ASD interventions. Our experiments show that this approach not only improves communication efficiency but also maintains the accuracy of the model, surpassing the performance of existing methods.</t>
  </si>
  <si>
    <t>AI, VR, ASD, GAME</t>
  </si>
  <si>
    <t>body movement, heart, skin</t>
  </si>
  <si>
    <t>10.1109/ICoICT61617.2024.10698567</t>
  </si>
  <si>
    <t>An intervention that applies Virtual Reality (VR) in Social Story (SS) is designed to train autistic children to minimize adaptation stress among autistic children transitioning to new educational environments. Challenges in social communication and difficulties during transitions are identified. Typically, autistic children of school age have adaptation issues due to communication barriers, atypical behaviors within the school environment, and an insufficient awareness of autism among their peers. The SS is designed to reduce autistic children's emotions in the adaptation. However, the manual creation of a social story by parents using the traditional method is time-consuming involving the related image collection, possible narrative creation, etc. Implementing VR in SS enhances social story creation effectiveness and gains autistic children's attention. In this paper, three social stories are designed to address this issue. The possible scenarios are presented to familiarize children before attending the actual school in real life such as appropriate learning behaviors in a class, and the proper way of making new friends. The immersive experience, facilitated by Google Cardboard Goggles, aims to captivate children. Additionally, the customization feature is provided for the parents to customize the background setting in the classroom for heightening the immersion of autistic children, enhancing virtual school realism, and reducing parental SS personalization burdens. The results of the intervention's performance will be verified using common assessment tools in the field of autism, namely the Social Responsiveness Scale (SRS-2), the Behavior Assessment System for Children (BASC-3), and the Childhood Autism Rating Scale (CARS-2).</t>
  </si>
  <si>
    <t>10.1109/ICRoM.2017.8466148</t>
  </si>
  <si>
    <t>Social Virtual Reality Robot (V2R): A Novel Concept for Education and Rehabilitation of Children with Autism</t>
  </si>
  <si>
    <t>In this paper, we have presented a novel virtual reality setup with the ability to teach music to children with autism as well as perform automatic assessment of their behaviors. This setup contains Social Virtual Reality Robots (V2Rs) and virtual musical instruments (i.e. xylophone and drum). After conducting a game-session pilot study, we observed that the acceptance rate of the virtual reality headset is about 65% among children with autism, while all of the typically developing children attending the session used the headset. Furthermore, using statistical analysis, it is indicated that the performance of children with autism in music assignments was significantly weaker than their typically developing peers; consequently, the designed V2R music-based game has the potential for autism screening. © 2017 IEEE.</t>
  </si>
  <si>
    <t>10.1109/ICRoM64545.2024.10903545</t>
  </si>
  <si>
    <t>Autism Spectrum Disorder (ASD) is a neurodevelopmental condition that impacts various aspects of life, including motor skills, social interactions, and communication, with symptoms that differ widely among individuals. Early diagnosis is critical, especially in young children, as timely intervention can significantly improve outcomes. This paper presents a novel approach utilizing a music-based virtual reality (VR) game to assist therapists in differentiating children with ASD from their typically developing (TD) peers. A classification model was trained using data collected from 21 TD children and 9 children with ASD, focusing on their actions and movements within the game. The model achieved an accuracy of 93% and a sensitivity of 85%, showcasing the potential of VR games in advancing ASD/TD classification and autism screening.</t>
  </si>
  <si>
    <t>VR, ASD, GAME, AI</t>
  </si>
  <si>
    <t>10.1109/SeGAH61285.2024.10639571</t>
  </si>
  <si>
    <t>Immersive Virtual Reality Serious Game for Facial Expression Training</t>
  </si>
  <si>
    <t>Individuals with Autism Spectrum Disorder (ASD) frequently encounter difficulties in recognizing and expressing emotions, significantly affecting their ability to engage in social interactions. This study introduces a novel serious game designed to enhance facial emotion recognition and expression skills among individuals with ASD. Utilizing Virtual Reality (VR) technology, the game provides an immersive and interactive environment where participants diagnosed with ASD can safely practice and refine their emotion recognition and expression abilities. Three mini-games comprising identification, manipulation and production of facial expressions were created and incorporated as tasks in our larger immersive serious game TravelTrain. Preliminary evaluation through a pilot test has demonstrated the game's potential, with participants showing positive responses towards its usability and acceptance. These encouraging outcomes suggest that it has the potential to serve as a valuable tool in assisting individuals with ASD to improve their emotional competencies and, consequently, their social interaction skills. © 2024 IEEE.</t>
  </si>
  <si>
    <t>10.1109/TG.2024.3410163</t>
  </si>
  <si>
    <t>The Effects of Social Presence on Gaze, Movement, Arousal and Blink Rate in Autism: A Cooperative Virtual Reality Game-Based Approach</t>
  </si>
  <si>
    <t>10.1109/TLT.2024.3451462</t>
  </si>
  <si>
    <t>HSVRS: A Virtual Reality System of the Hide-and-Seek Game to Enhance Gaze Fixation Ability for Autistic Children</t>
  </si>
  <si>
    <t>Numerous children diagnosed with autism spectrum disorder (ASD) exhibit abnormal eye gaze pattern in communication and social interaction. In this study, we aim to investigate the effectiveness of the hide-and-seek virtual reality system (HSVRS) in improving gaze fixation abilities in children with ASD. Our hypothesis is that engaging in a hide-and-seek game within a virtual environment, particularly with a customized avatar resembling a familiar figure, would significantly enhance gaze fixation skills compared to traditional interventions without supplementary virtual reality (VR) intervention. In total, 36 children with ASD were involved in this pilot study in three groups: the avatar customized group, the avatar uncustomized group, and the control group. The control group only received human intervention, while the avatar group received additional VR-assisted interventions. The effect of HSVRS was measured by a six-point Likert subjective questionnaire and demonstrated significant improvements in gaze fixation abilities in the VR-assisted intervention groups compared to the control group (P = 0.006, 0.001). Moreover, the avatar customized group, which interacted with a familiar-looking avatar, obtained noticeable increments in gaze fixation metrics (P = 0.036, 0.005, 0.001). Experimental results show the effectiveness of utilizing VR technology to complement regular interventions in terms of improving gaze fixation abilities for young children with ASD. © 2008-2011 IEEE.</t>
  </si>
  <si>
    <t>10.1109/TNSRE.2021.3108351</t>
  </si>
  <si>
    <t>Design of an Interactive Virtual Reality System, InViRS, for Joint Attention Practice in Autistic Children</t>
  </si>
  <si>
    <t>Many children with Autism Spectrum Disorder (ASD) exhibit atypical gaze behaviors related to joint attention, a fundamental social-communication skill. Specifically, children with ASD show differences in the skills of gaze sharing and gaze following. In this work we present a novel virtual reality (VR)-based system, called InViRS, in which children with ASD play games allowing them to practice gaze sharing and gaze following. InViRS has three main design contributions: (i) a closed-loop joint attention paradigm with real-time tracking of the participant's eye gaze and game performance measures, (ii) an assistive feedback mechanism that provides guidance and hints in real time, and (iii) a controller that adaptively changes the avatar's gaze prompts according to the performance measures. Results from a pilot study to evaluate the feasibility of InViRS with 9 autistic1 children and 9 typically developing (TD) children offered preliminary support for the feasibility of successful gameplay as well as positive impacts on the targeted skills of gaze sharing and gaze following. © 2001-2011 IEEE.</t>
  </si>
  <si>
    <t>10.1109/UEMCON62879.2024.10754723</t>
  </si>
  <si>
    <t>Children with Autism Spectrum Disorder (ASD) often experience delays in motor skills, which can substantially affect their future motor function. The Movement Assessment Battery for Children - Second Edition (MABC-2) is a widely used tool in evaluating children’s motor skills across different age bands, specifically assessing children ages 3 to 16. It includes eight unique tasks per age band that measure fine and gross motor skills and balance, which explains a child’s motor abilities and classifies them by groups. This study extends previous research by exploring the potential of Virtual Reality (VR) to make the MABC-2 tasks more engaging and interactive for children, which could lead to better outcomes. The previous research created the balance and gross motor tasks of the MABC-2 in VR. We refined those tasks and completed the remaining ones. The VR tool was tested on seven individuals aged 19 to 21. Pre- and post-VR MABC-2 scores were collected and analyzed. Most tasks were accurately replicated in VR; however, significant statistical differences were found in the Threading Lace (p= 0.003) and Catching Ball (p = 0.007) tasks, indicating further refinement. Machine learning analysis was also conducted on data from 268 previous MABC-2 scores of children diagnosed with autism to classify them into motor skill proficiency zones based on their scores and to determine the most influential features for accurate prediction. The analysis revealed that balance scores were particularly influential in determining motor proficiency. This indicates the importance of balance in interventions to improve overall motor proficiency.</t>
  </si>
  <si>
    <t>ASD, VR, AI, GAME</t>
  </si>
  <si>
    <t>10.1109/UEMCON62879.2024.10754769</t>
  </si>
  <si>
    <t>Music Therapy for Autism Spectrum Disorder: A Comprehensive Literature Review on Therapeutic Efficacy, Limitations, and AI Integration</t>
  </si>
  <si>
    <t>Autism Spectrum Disorder (ASD) is a neurological and developmental condition that presents considerable social, behavioral, and communicative challenges to those diagnosed with it. Recent advances in music therapy have shown promising results in addressing these challenges. This review examines studies on music therapy for ASD from 2020 to 2024, covering both biomedical and interdisciplinary repositories. Our analysis reveals that music therapy can effectively enhance communication and social skills in people with ASD. Based on the results from 18 selected studies, the most significant improvements are achieved in social-emotional reciprocity and adaptive behaviors, contrasting with only modest improvements in social relationship deficits. Among the intervention approaches assessed, improvising and playing an instrument achieved slightly better outcomes. However, while promising, the robustness of such conclusions is bound by small sample sizes, insufficient longitudinal studies, and limited age diversity among participants. These limitations underscore the need for largerscale, more diverse, and more in-depth research to confirm the findings and extend their generalizability. Previous reviews have discussed the application of technologies such as robots, virtual reality (VR), and wearable devices in music therapy for ASD. This review expands on these discussions by exploring the integration of artificial intelligence (AI), which offers significant potential to enhance the personalization, adaptiveness, and efficacy of traditional music interventions for ASD. We explore promising avenues for multifaceted AI applications in music selection and generation, and automatic emotion and response detection, while also discussing the challenges of implementing AI in music therapy for ASD. © 2024 IEEE.</t>
  </si>
  <si>
    <t>vr,asd,game,AI</t>
  </si>
  <si>
    <t>10.1111/1460-6984.12678</t>
  </si>
  <si>
    <t>The utility of LENA as an indicator of developmental outcomes for young children with autism</t>
  </si>
  <si>
    <t>Background: There is growing understanding of the potential benefits of a multi-method approach to accurately capture language skills of children on the autism spectrum. Tools such as Language ENvironment Analysis (LENA) provide an efficient means of capturing and analysing early child vocalizations (CVs) and the language learning environment. While developed to capture whole-day recordings of child language in naturalistic settings, there is potential utility in capturing, but little knowledge about, primary LENA metrics—including CVs and conversational turns (CTs)—and novel metrics, such as vocalization ratios (VRs), sampled in clinical practice settings where children are often seen. Moreover, recent research indicates that the novel VR may offer a broad indicator of children's developmental level, beyond just their language abilities, a hypothesis yet to be investigated in a large sample of children for whom the LENA was designed (i.e., pre-schoolers). Aims: To explore the extent to which primary and novel LENA metrics collected during brief one-to-one clinical interaction was a useful indicator of developmental outcomes for children on the autism spectrum. Methods &amp; Procedures: Participants were recruited as part of an on-going research programme evaluating early intervention outcomes (n = 99; age 14–47 months). Language samples were collected at intake (T1) using the wearable LENA Digital Language Processors during a one-to-one, play-based assessment with a clinician. Direct (Mullen Scales of Early Learning—MSEL) and parent-report (Vineland Adaptive Behavior Scales—VABS) measures of verbal and non-verbal skills were also collected at intake (T1) and again at exit (T2), approximately 12 months later. Outcomes &amp; Results: Few correlations were observed between child measures and CVs, a primary LENA metric. The novel VR metric was associated with concurrent direct assessment (MSEL) (and to a lesser extent parent report; VABS) measures of verbal and non-verbal skills, with moderate positive correlations found between VRs and all directly assessed subscale scores. However, VRs did not uniquely contribute to the prediction of child outcomes when baseline skills were also considered. Conclusions &amp; Implications: The novel VR may provide an insight into autistic children's overall development in addition to their language ability, suggesting that even when collected in a short recording format, LENA might be a useful component of a multi-method assessment approach. What this paper adds: What is already known on the subject To accurately capture language skills of children on the autism spectrum, multi-method approaches, including natural language sampling, are recommended. Tools such as LENA provide an efficient means of capturing and analysing naturalistic child language and the language learning environment. What this paper adds to existing knowledge This study demonstrates the potential benefits, and limitations, of using LENA to augment assessment of young children on the autism spectrum. Specifically, LENA provides a complementary, and low burden, method for capturing child language samples. What are the potential or actual clinical implications of this work? Novel metrics, such as the VR, collected during brief clinical interactions might be a useful component of a multi-method assessment approach for children on the autism spectrum. © 2021 Royal College of Speech and Language Therapists</t>
  </si>
  <si>
    <t>10.1145/3014033.3014039</t>
  </si>
  <si>
    <t>Virtual reality enhanced pink dolphin game for children with ASD</t>
  </si>
  <si>
    <t>Autism Spectrum Disorder (ASD) is a developmental disorder with different levels of severity. Although the exact causes of ASD is not yet known, nor is there a medical cure for ASD to date, special facilities and schools have been established to help individuals coping better and becoming more independent. With the advancement in Virtual Reality (VR) technology, there has been a greater depth of development of technology-enhanced game-based learning for children with ASD. This paper will describe our effort to design VR enabled pink dolphins game assisting children with ASD in their learning, at the same time, to avoid the use of physical pink dolphins which is a species endangered for animal assisted intervention. In particular, we will discuss the benefits of this VR technology enhanced and game based learning for children to follow direction, give direction and do hand-eye coordination.</t>
  </si>
  <si>
    <t>10.1145/3014033.3014041</t>
  </si>
  <si>
    <t>Challenges and solutions of motion sensing games for autism education</t>
  </si>
  <si>
    <t>Motion Sensing Game is a new attempt in autism education in Mainland China. Currently, it has a number of challenges in its practical application. For instance, motion sensing games are still in its infant stage with few educational rehabilitation and practical skills games available. Assessment function with such games is not common and generalization of the game based learning is difficult too. To solve these difficulties and to improve the efficiency of motion sensing game application, Suzhou Industrial Park Renai School has made several efforts by cooperating with enterprises, improving game design, enhancing the role of assessment, involving pivotal response training (PRT) in order to meeting all of the challenges.</t>
  </si>
  <si>
    <t>10.1145/3172944.3173150</t>
  </si>
  <si>
    <t>Analysis of interaction design and evaluation methods in full-body interaction for special needs</t>
  </si>
  <si>
    <t>This work is focused on the specific properties and evaluation of full-body interaction design of multi-user mixed reality environments. The main goal is to study how full-body interaction can aid in intervention strategies for children with autism, to improve their understanding and adoption of social behaviors with peers and with society in general. The research is based upon HCI theory, aided by general theories of embodied cognition, embodiment and developmental psychology. The main setting of the research is large scale floor-projected mixed environments, which will allow for testing interaction strategies and evaluation methods of experiences based on collocation of multiple users within a full-body interactive scenario, where they can practice interaction in a natural and uninhibited manner. The research consists of designing playful experiences for the target users in order to promote socialization, collaboration and social inclusion. Topics for analysis include understanding the dynamics of goal-oriented and open-ended gameplay, proxemics, and encouraged group collaboration, on the design of these systems. Assessment methods take into account multimodal analysis, including physiology-based data such as electrodermal activity and heart rate, of the children's behavioral and affective states in the experience. © 2018 Copyright held by the owner/author(s).</t>
  </si>
  <si>
    <t>ASD, GAME, MR</t>
  </si>
  <si>
    <t>heart</t>
  </si>
  <si>
    <t>10.1145/3308532.3329440</t>
  </si>
  <si>
    <t>SoCueVR: Virtual Reality Game for Social Cue Detection Training</t>
  </si>
  <si>
    <t>The ability to recognize social cues and knowing how to approach people in public is an important skill. SoCueVR is a virtual reality game, intended to teach children with autism how to detect social cues and knowing how to initiate contact with strangers. The goal of the game is to support a charity by selling pens to people walking around a mall. Only some of the virtual people are interested in buying and that can be seen in their nonverbal behavior, such as gaze and facial expression. By detecting the nonverbal cues early, the player spends more time selling and less time getting turned down. A prototype was user tested and reviewed by an expert in social training for children with autism, suggesting strong potential. © 2019 Copyright held by the owner/author(s).</t>
  </si>
  <si>
    <t>10.1145/3369199.3369212</t>
  </si>
  <si>
    <t>An AR Puzzle Application for Improving Emotion Recognition for AS Children</t>
  </si>
  <si>
    <t>Affecting to around 1\% of the population, Autism is sometimes described as a different approach to interacting with the world. Adapting the surrounding objects and systems can improve their experience and their relative's. This project is based on previous research where it has been shown that toys can influence positively in a child's development. Also, new technologies as Augmented Reality (AR) can be beneficial for these children in attracting and keeping their attention. The proposed game would engage the player by first creating a customized monster with the help of different AR markers. In a second stage, the player would try to guess the emotion of different monsters or virtual humans. The game will be tested in further stages to check its suitability for the AS children and the effect on their emotion recognition skills.</t>
  </si>
  <si>
    <t>10.1145/3383923.3383954</t>
  </si>
  <si>
    <t>Validation of Emotions as a Measure of Selective Attention in Children with Autism Spectrum Disorder</t>
  </si>
  <si>
    <t>This research studied the validation of emotions as a measure of selective attention in children with autism spectrum disorder (ASD) and their typically developing (TD) peers. Seven basic emotions such as anger, sadness, disgust, joy, surprise, fear and contempt as well as neutral emotion of participants were detected in real-time using iMotions and affectiva software. This study investigated these emotions against task performance. The result shows no significant difference in emotion between the two groups except in neutral and contempt. Also, the result revealed that there was no significant correlation between the seven basic emotions and selective attention in ASD and TD group. However, neutral emotion has a significant correlation on selective attention only in children with ASD and the group differs in neutral and contempt emotions. Thus, this study suggests that the seven basic emotions have no effect on selective attention in children with ASD and TD. Further studies need to investigate the low-level facial activity that represents neutral and contempt emotions.</t>
  </si>
  <si>
    <t>10.1145/3395035.3425188</t>
  </si>
  <si>
    <t>Bodily Expression of Social Initiation Behaviors in ASC and non-ASC children: Mixed Reality vs. LEGO Game Play</t>
  </si>
  <si>
    <t>This study is part of a larger project that showed the potential of our mixed reality (MR) system in fostering social initiation behaviors in children with Autism Spectrum Condition (ASC). We compared it to a typical social intervention strategy based on construction tools, where both mediated a face-to-face dyadic play session between an ASC child and a non-ASC child. In this study, our first goal is to show that an MR platform can be utilized to alter the nonverbal body behavior between ASC and non-ASC during social interaction as much as a traditional therapy setting (LEGO). A second goal is to show how these body cues differ between ASC and non-ASC children during social initiation in these two platforms. We present our first analysis of the body cues generated under two conditions in a repeated-measures design. Body cue measurements were obtained through skeleton information and characterized in the form of spatio-temporal features from both subjects individually (e.g. distances between joints and velocities of joints), and interpersonally (e.g. proximity and visual focus of attention). We used machine learning techniques to analyze the visual data of eighteen trials of ASC and non-ASC dyads. Our experiments showed that: (i) there were differences between ASC and non-ASC bodily expressions, both at individual and interpersonal level, in LEGO and in the MR system during social initiation; (ii) the number of features indicating differences between ASC and non-ASC in terms of nonverbal behavior during initiation were higher in the MR system as compared to LEGO; and (iii) computational models evaluated with combination of these different features enabled the recognition of social initiation type (ASC or non-ASC) from body features in LEGO and in MR settings. We did not observe significant differences between the evaluated models in terms of performance for LEGO and MR environments. This might be interpreted as the MR system encouraging similar nonverbal behaviors in children, perhaps more similar than the LEGO environment, as the performance scores in the MR setting are lower as compared to the LEGO setting. These results demonstrate the potential benefits of full body interaction and MR settings for children with ASC.</t>
  </si>
  <si>
    <t>ASD, MR, GAME, IA</t>
  </si>
  <si>
    <t>10.1145/3401895.3401930</t>
  </si>
  <si>
    <t>A serious game to support learning and minimize the social isolation of children with autism</t>
  </si>
  <si>
    <t>People with Autism Spectrum Disorder (ASD) have characteristics described as the disability to relate to others, communication disorders, and obsessive concern about what is unchanging. In this sense, this paper aims to present an application for mobile devices, in a serious game format, whose purpose is to aid the teaching-learning process of autistic children, also seeking to reduce their isolation tendencies. Also, it shows both ontologies, and the Multiagent System integrated into the application. The validation occurred with autism specialists through questionnaires. The results indicate that the proposed application presents great potential to reach its objectives.</t>
  </si>
  <si>
    <t>ASD, GAME,VR,AR</t>
  </si>
  <si>
    <t>10.1145/3430524.3440646</t>
  </si>
  <si>
    <t>“Can you help me move this over there?”: training children with ASD to joint action through tangible interaction and virtual agent</t>
  </si>
  <si>
    <t>New technologies for autism focus on the training of either social skills or motor skills, but not both. Such a dichotomy omits a wide range of joint action tasks that require the coordination of two persons (e.g. moving a heavy furniture). The training of these physical tasks performed in dyad has great potential to foster inclusiveness while having an impact on both social and motor skills. In this paper, we present the design of a tangible and virtual interactive system for the training of children with Autism Spectrum Disorder (ASD) in performing joint actions. The proposed system is composed of a virtual character projected onto a surface on which a tangible object is magnetized: both the user and the virtual character hold the object, thus simulating a joint action. We report and discuss preliminary results of a field training study, which shows the potential of the interactive system.</t>
  </si>
  <si>
    <t>VR,GAME,ASD</t>
  </si>
  <si>
    <t>10.1145/3459608</t>
  </si>
  <si>
    <t>C-Hg: A Collaborative Haptic-Gripper Fine Motor Skill Training System for Children with Autism Spectrum Disorder</t>
  </si>
  <si>
    <t>Computer-assisted systems can provide efficient and engaging ASD intervention environments for children with Autism Spectrum Disorder (ASD). However, most existing computer-assisted systems target only one skill deficit (e.g., social conversation skills) and ignore the importance of other areas, such as motor skills, that could also impact social interaction. This focus on a single domain may hinder the generalizability of learned skills to real-world scenarios, because the targeted teaching strategies do not reflect that real-world tasks often involve more than one skill domain. The work presented in this article seeks to bridge this gap by developing a Collaborative Haptic-gripper virtual skill training system (C-Hg). This system includes individual and collaborative games that provide opportunities for simultaneously practicing both fine motor skills (hand movement and grip control skills) as well as social skills (communication and collaboration) and investigating how they relate to each other. We conducted a usability study with 10 children with ASD and 10 Typically Developing (TD) children (8–12 years), who used C-Hg to play a series of individual and collaborative games requiring differing levels of motor and communication skill. Results revealed that participant performance significantly improved in both individual and collaborative fine motor skill training tasks, including significant improvements in collaborative manipulations between partners. Participants with ASD were found to conduct more collaborative manipulations and initiate more conversations with their partners in the post collaborative tasks, suggesting more active collaboration and communication of participants with ASD in the collaborative tasks. Results support the potential of our C-Hg system for simultaneously improving fine motor and social skills, with implications for impacts of improved fine motor skills on social outcomes.</t>
  </si>
  <si>
    <t>10.1145/3474349.3480216</t>
  </si>
  <si>
    <t>FaceMe: An Augmented Reality Social Agent Game for Facilitating Children's Learning about Emotional Expressions</t>
  </si>
  <si>
    <t>Children with autism spectrum disorder (ASD) experience dysfunctional emotional development leading to negative effects on their social communication. Although interventions are effective in helping children with ASD improve their social skills over time, they have been found to lack the essential ability to engage children in a real social environment. In this paper, we present “FaceMe,” which is an augmented reality (AR) system that uses a virtual agent and a set of tangible toolkits to teach children with ASD about six basic emotions and improve their emotional and communication skills. On the basis of the pilot data, the results suggest that children, especially those with ASD, were willing to socialize with the virtual agent and understand more emotional states. It is hoped that FaceMe can be used as a tool to provide assistance to children with ASD, as well as a way for future interface system design to support emotional development in children.</t>
  </si>
  <si>
    <t>ASD,AR,MR,GAME</t>
  </si>
  <si>
    <t>10.1145/3487606</t>
  </si>
  <si>
    <t>INC-Hg: An Intelligent Collaborative Haptic-Gripper Virtual Reality System</t>
  </si>
  <si>
    <t>Collaborative Virtual Environments (CVE) have shown potential to be an effective social skill training platform for children with Autism Spectrum Disorders (ASD) to learn and practice collaborative and communication skills through peer interactions. However, most existing CVE systems require that appropriately matched partners be available at the same time to promote interaction, which limits their applicability to some community settings due to scheduling constraints. A second shortcoming of these more naturalistic peer-based designs is the intensive resources required to manually code the unrestricted conversations that occurred during the peer-based interactions. To preserve the benefits of CVE-based platforms and mitigate some of the resource limitations related to peer availability, we developed an Intelligent Collaborative Haptic-Gripper System (INC-Hg). This system provides an intelligent agent partner who can understand, communicate, and haptically interact with the user, without requiring the presence of another human peer. The INC-Hg operates in real time and thus is able to perform collaborative training tasks at any time and at the user's pace. INC-Hg can also record the real-time data regarding spoken language and task performance, thereby greatly reducing the resource burden of communication and interaction performance analysis. A preliminary usability study with 10 participants with ASD (ages 8–12 years) indicated that the system could classify the participant's utterances into five classes with an accuracy of 70.34\%, which suggested the potential of INC-Hg to automatically recognize and analyze conversational content. The results also indicated high accuracies of the agent to initiate a conversation (97.56\%) and respond to the participants (86.52\%), suggesting the capability of the agent to conduct proper conversations with the participants. Compared to the results of human-to-human collaborative tasks, the human-to-agent mode achieved higher average collaborative operation ratio (61\% compared to 40\%) and comparable average frequencies for Initiations and Responses among the participants with ASD. These results offer preliminary support as well as areas of improvement regarding the agent's ability to respond to participants, work with participants to complete tasks, engage in back-and-forth conversations, and support the potential of the agent to be a useful partner for individuals with ASD completing CVE tasks.</t>
  </si>
  <si>
    <t>ASD, VR, IA,GAME</t>
  </si>
  <si>
    <t>10.1145/3514254</t>
  </si>
  <si>
    <t>MetaCogs: Mitigating Executive Dysfunction via Agent-based Modeling for Metacognitive Strategy Development</t>
  </si>
  <si>
    <t>Executive functions (EF) are a collection of cognitive domains governing task initiation, motor planning, attention, and goal-oriented action. Difficulties with EF have marked impacts on adaptive living skills, learning outcomes, and quality of life for people with cognitive and psychosocial disabilities, as well as the broader population. While there is considerable research interest in EF training intervention for disabled populations, very few studies explore metacognitive intervention for people with cognitive disabilities. Metacognition comprises conscious beliefs and strategies around task management and goal setting. Metacognitive awareness has been shown to mediate the effects of executive function on self-regulated learning. Metacognitive interventions have also shown promise in general education, military training, and medical practice. We present a virtual reality experience deploying agent-based modeling to support explicit metacognitive strategy instruction for undergraduate students of all neurotypes. Our results support that explicit instructional material explaining executive function and metacognition in relation to problem-solving experiences influenced participant self-concept and awareness of personal traits and cognitive processes.</t>
  </si>
  <si>
    <t>10.1145/3544548.3580721</t>
  </si>
  <si>
    <t>Interactive AR Applications for Nonspeaking Autistic People? - A Usability Study</t>
  </si>
  <si>
    <t>About one-third of autistic people are nonspeaking, and most are never provided access to an effective alternative to speech. Thoughtfully designed AR applications could provide members of this population with structured learning opportunities, including training on skills that underlie alternative forms of communication. A fundamental step toward creating such opportunities, however, is to investigate nonspeaking autistic people’s ability to tolerate a head-mounted AR device and to interact with virtual objects. We present the first study to examine the usability of an interactive AR-based application by this population. We recruited 17 nonspeaking autistic subjects to play a HoloLens 2 game we developed that involved holographic animations and buttons. Almost all subjects tolerated the device long enough to begin the game, and most completed increasingly challenging tasks that involved pressing holographic buttons. Based on the results, we discuss best practice design and process recommendations. Our findings contradict prevailing assumptions about nonspeaking autistic people and thus open up exciting possibilities for AR-based solutions for this understudied and underserved population.</t>
  </si>
  <si>
    <t>10.1145/3561613.3561632</t>
  </si>
  <si>
    <t>“Presence” and “Empathy” — Design and Implementation Emotional Interactive Storytelling for Virtual Character</t>
  </si>
  <si>
    <t>One of the key motivators for participating in Virtual Reality (VR) is the opportunity to and appeal of becoming immersed in a virtual environment. One avenue that is anticipated to have significant expansion is storytelling through VR, as it offers novel and absorbing experiences. To develop a design interactive storytelling program using VR-based coding, examples of VR application and coding storytelling were analyzed. Base on this analysis, we developed one design interactive storytelling featuring a virtual environment that supports the facilitation of such experiences. In this paper, we introduce expands the interactive storytelling structure, both in general and for VR. The current interactive storytelling systems are extended via emotional modeling and tracking. The components being proposed are to supplement the story segments with information about the response anticipated from users, a modeled emotional path for the individual emotional categories linked to the story, and an internal system to track emotions, in a bid to predict the users’ present emotional condition. We also show the results of the implementation with the 43 students (age 18-28) that demonstrate the emotional expression for the use of interactive storytelling. The results showed that virtual interactive storytelling, the usability of the system and the impact of plot development on inference and story understanding.</t>
  </si>
  <si>
    <t>VR, GAME, ASD, AI</t>
  </si>
  <si>
    <t>10.1145/3567716</t>
  </si>
  <si>
    <t>Players and Performance: Opportunities for Social Interaction with Augmented Tabletop Games at Centres for Children with Autism</t>
  </si>
  <si>
    <t>This research aimed to investigate how children with autism interacted with rich audio and visual augmented reality (AR) tabletop games. Based on in-depth needs analysis facilitated through autism centers in China, we designed and developed MagicBLOCKS, a series of tabletop AR interactive games for children with autism. We conducted a four-week field study with 15 male children. We found that the interactive dynamics in games were rewarding and played critical roles in motivation and sustained interest. In addition, based on post-hoc interviews and video analysis with expert therapists, we found that MagicBLOCKS provided opportunities for children with autism to engage with each other through player performances and audience interactions with episodes of cooperation and territoriality. We discuss the limitations and the insights offered by this research.</t>
  </si>
  <si>
    <t>10.1145/3572921.3572923</t>
  </si>
  <si>
    <t>Opportunities for Serious Game Technologies to Engage Children with Autism in a Pakistani Sociocultural and Institutional Context: An investigation of the design space for serious game technologies to enhance engagement of children with autism and to facilitate external support provided</t>
  </si>
  <si>
    <t>Usability and design of serious game technologies have been widely investigated as academic interventions tools for children with autism. However, besides the technology, the sociocultural and institutional context also impacts the gameplay activities of children with autism as well as the external support provided by instructors. Therefore, this paper investigates i) the impact of sociocultural and institutional context over the engagement of children with autism with serious game technologies, ii) the types of external support children with autism are offered or require during gameplay session, and iii) the type of rewards and encouragers that can act as unbiased support to increase the engagement of the children with autism during gameplay.This paper investigates these factors with an inductive analysis of educational gameplay activities of 23 children with autism in Lahore, Pakistan. Our study found that sociocultural and institutional context has substantial impact over the gameplay activities of children with autism. Children required both physical and verbal support during the gameplay activities, and institutional context influences the behavior of instructors as well. Finally, dynamic animations, rewards and encouragers can keep the children engaged for longer in the gameplay.</t>
  </si>
  <si>
    <t>ASD,GAME,VR,AR</t>
  </si>
  <si>
    <t>10.1145/3586183.3606755</t>
  </si>
  <si>
    <t>Starrypia: An AR Gamified Music Adjuvant Treatment Application for Children with Autism Based on Combined Therapy</t>
  </si>
  <si>
    <t>In this paper, we present Starrypia, a lightweight gamified music adjuvant treatment application to improve the symptoms of mild autistic children, eliminating the geographical and time constraints faced by traditional treatment. Adopting ABA (Applied Behavior Analysis) behavioral theory as the principle, Starrypia follows the stimulus-response-reinforcement-pause process and incorporates music therapy and sensory integration. Based on AR, Starrypia provides multi-sensory intervention through music generated by BiLSTM deep model, 3D visual scenes, touch interaction to keep children focused and calm. We conducted a controlled experiment on 20 children to test Starrypia’s effectiveness and attraction. Children’s pre-test and post-test scores on two autism rating scales and performance during the test were applied to measure their abilities and engagement. Experimental results indicated that children showed great interest in Starrypia and presented evident symptom remission and advance in overall abilities after 4 weeks of use. In conclusion, Starrypia is practicable in both therapeutic effect and user experience, and conspicuously instrumental in promoting sensory ability.</t>
  </si>
  <si>
    <t>AR, GAME, ASD, AI</t>
  </si>
  <si>
    <t>10.1145/3594739.3605104</t>
  </si>
  <si>
    <t>Research Methodologies across the Physical - Virtual Reality Spectrum</t>
  </si>
  <si>
    <t>Over the last couple of years, there has been a big push toward making immersive and mixed technologies available to the general public. Yet, designing for these new technologies is challenging, as users need to position virtual objects in 3D space. The current state-of-the art technologies used to access these virtual environments (e.g., Head-mount displays (HMD)s also presents additional challenges for designers when considering depth perception issues that affect user precision. Moreover, these challenges are exacerbated when designers consider accessibility needs of special populations. To make new immersive and mixed technologies more accessible, we propose a tutorial at UbiComp / ISWC 2023 to discuss design strategies, research methodologies, and implementation practices with special populations using technologies across the physical-virtual reality spectrum. In this tutorial participants will learn how to make these technologies more accessible by (1) teaching students of the tutorial how to design, prototype, and evaluate these technologies using empirical research. We aim to (2) bring together researchers, practitioners, and students who are interested in making immersive and mixed technologies more accessible and (3) identify common problems when designing new user interfaces.</t>
  </si>
  <si>
    <t>10.1145/3596251</t>
  </si>
  <si>
    <t>Eggly: Designing Mobile Augmented Reality Neurofeedback Training Games for Children with Autism Spectrum Disorder</t>
  </si>
  <si>
    <t>Autism Spectrum Disorder (ASD) is a neurodevelopmental disorder that affects how children communicate and relate to other people and the world around them. Emerging studies have shown that neurofeedback training (NFT) games are an effective and playful intervention to enhance social and attentional capabilities for autistic children. However, NFT is primarily available in a clinical setting that is hard to scale. Also, the intervention demands deliberately-designed gamified feedback with fun and enjoyment, where little knowledge has been acquired in the HCI community. Through a ten-month iterative design process with four domain experts, we developed Eggly, a mobile NFT game based on a consumer-grade EEG headband and a tablet. Eggly uses novel augmented reality (AR) techniques to offer engagement and personalization, enhancing their training experience. We conducted two field studies (a single-session study and a three-week multi-session study) with a total of five autistic children to assess Eggly in practice at a special education center. Both quantitative and qualitative results indicate the effectiveness of the approach as well as contribute to the design knowledge of creating mobile AR NFT games.</t>
  </si>
  <si>
    <t>10.1145/3604321.3604345</t>
  </si>
  <si>
    <t>Requirements Gathering Regarding Fine Motor Skills, Adaptive Difficulty and Executive Functions for a Game in Development for Therapy Sessions with Autistic Children to Encourage Collaboration</t>
  </si>
  <si>
    <t>Children with Autism Spectrum Disorder (ASD) are sensitive to external stimuli, including communication, interaction, cooperation, physical touch, unknown places, among others. Thus, daily tasks involving these situations can become stressful for a child with ASD. In order to mitigate this difficulty, therapeutic treatment is often used. Games, which can be used for many different purposes, can also be used as an Assistive Technology (AT) in the therapy process, in order to improve fine motor skills and executive functions and to encourage social communication and collaboration, which are very important skills in daily life. Furthermore, in order to be more attractive and efficient, these games can have adaptive difficulty based on Artificial Intelligence (AI) techniques. This paper aims to gather requirements about fine motor skills, adaptive difficulty and executive functions to a 3D game-based Virtual Environment (VE) under development to support therapeutic treatment of children with ASD. Therefore, a Systematic Review (SR) and a exploratory search were conducted to gather more information about the theme. The results indicate that Drag and Drop technique is the most used to practice fine motor skills in autistic children and that AI has been used in this context of games and Virtual Environments, making the games more independent in their execution and contributing with human labor. Moreover, the exploratory search conducted suggests that digital games may be a promising approach to improve fine motor skills, adaptability, and executive functions in children with ASD. The results of this paper will be used to implement features into the game mencioned early. Our research, to our knowledge, is the first review about these 3 topics (fine motor skills, adaptive difficulty and executive functions) applied together in game-based 3D VEs focusing to promote collaboration on therapy sessions of children with ASD.</t>
  </si>
  <si>
    <t>10.1145/3605390.3605396</t>
  </si>
  <si>
    <t>A Systematic Review to Know How Interventions Realized with Immersive Virtual Reality-Based Serious Games for Individuals with Autism are Evaluated</t>
  </si>
  <si>
    <t>Today, the growing diffusion of Information Communication Technology and the concomitant system cost reductions encouraged, even more, the exploitation of innovative solutions, especially in the field of interventions for autism. The need for efficient and effective interventions for autism is becoming more pressing for several reasons ranging from the dramatic increase in its prevalence to the high direct and indirect costs of its care over a lifetime. Among all Information Communication Technology-based interventions for autism, those realized with Immersive Virtual Reality based Serious Games appear to be the most promising. However, even if an intervention is considered promising for a clinical population does not mean that it is also efficient and effective. In fact, to be efficient and effective, an intervention must be evidence-based. Unfortunately, nowadays, there is a lack of evaluation protocols that allow for avoiding methodological biases thus providing interventions evidence-based. Consequently, clinicians are reluctant to use these interventions in clinical practice. This awareness led to the emergence of the research question of this systematic review: how interventions realized with Immersive Virtual Reality based Serious Games for individuals with autism are evaluated? The present systematic review answered this research question showing consistent methodological issues related to how these kinds of interventions are evaluated and laying the foundation for a reflection on the need to create specific evaluation protocols to overcome these issues and promoting thus the blossoming of rigorous studies on this topic.</t>
  </si>
  <si>
    <t>10.1145/3649902.3653008</t>
  </si>
  <si>
    <t>Effects of Visual Cluttering in Virtual Reality on Visuomotor Integration in Autistic Individuals</t>
  </si>
  <si>
    <t>Goal-directed throwing is ubiquitous in virtual reality (VR) games, demanding spatial and temporal accuracy to perceive position and motion, as well as to plan, and execute movement. Autistic individuals often show superior local visual sensitivity, which may paradoxically delay global visual processing, leading to incongruent visuomotor integration (VMI). Understanding VMI in VR and exploring supportive designs are vital for enhancing accessibility. We assessed VMI in VR with different levels of visual cluttering with autistic (n = 10) and non-autistic (n = 10) adults using overhand throwing with eye and hand tracking, comparing VR to identical physical environments and VR to visually simplified VR. In VR, all participants exhibited decreased throwing accuracy, increased visual scanning, and prolonged hand preparation phases. These differences were more significant in autistic individuals. However, our study highlighted an important effect: simplifying visual information in VR throwing resulted in autistic individuals outperforming non-autistic peers.</t>
  </si>
  <si>
    <t>10.1145/3665463.3678823</t>
  </si>
  <si>
    <t>Foldiverse: Augmenting Paper Folding Physiotherapy for Children with Autism via Family-Centered Mixed Reality Design</t>
  </si>
  <si>
    <t>Therapy involving paper folding-based fine motor activities has proven effective for children with autism. However, the lack of professional special education training makes it challenging for parents to create suitable guided activities that motivate their children during home sessions. To address this, we introduce Foldiverse, an AR game-based solution. Providing paper folding tutorials and real-time interactive feedback, it transforms paper folding into an interactive virtual life. The gamification approach stimulates children’s interest and enables parents to easily accompany the training at home. User experiments have shown that Foldiverse significantly increases children’s engagement and anticipation, providing a more gamified and family-inclusive training method for autism rehabilitation.</t>
  </si>
  <si>
    <t>ASD,GAME,AR</t>
  </si>
  <si>
    <t>10.1145/3695652.3695658</t>
  </si>
  <si>
    <t>Critical Analysis on the Design and Development of an E-Learning System for Autism Spectrum Disorder Intervention through Gamified Augmented Reality and Emotion-Recognition</t>
  </si>
  <si>
    <t>In the Philippines the state of care for those with Autism Spectrum Disorder (ASD) is affected by factors such as upfront cost, the availability of care staff and care resources, and the limited integration of technology. Individuals with ASD often have trouble reliably identifying emotions in social situations, a known trait that has inspired much research into relevant assistive technologies. Many technologies have been proposed to aid in improving the condition of those with ASD via various means. This paper discusses a system which aims to use computer vision integrated with Augmented Reality (AR) to develop a novel assistive application. This application's purpose is to aid care professionals working with individuals with ASD through a system that can recognize facial expressions, output a reading on said emotion, and then display that output in a real-time AR display.</t>
  </si>
  <si>
    <t>ASD, AR, GAME</t>
  </si>
  <si>
    <t>10.1145/3696593.3696645</t>
  </si>
  <si>
    <t>Human-Computer Interaction: empowering adults with Autism and ADHD in higher education and employability</t>
  </si>
  <si>
    <t>Attention Deficit Hyperactivity Disorder (ADHD) and Autism Spectrum Disorder (ASD) in adults can present challenges in learning and work environments, by impacting focus, organization, social interaction, and self-esteem. The aim of this study is the potential of Human-Computer Interaction (HCI) in the empowerment of adults with ADHD and ASD. Specific difficulties faced in educational and professional settings were found through qualitative interviews with six participants. HCI seems to offer a pathway towards a more inclusive future, as educational technology solutions built on HCI principles can create better and alternative learning environments with fewer distractions and gamification for increased engagement. Assistive technologies can address challenges related to focus and organization (like task management apps, time tracking tools). Additionally, features promoting social interaction and communication can empower individuals with ASD. Technologies arising nowadays like Augmented and Virtual Reality (AR/VR) can create interactive learning experiences. Through the use of Human-Computer Interaction principles, more inclusive learning and work environments that empower individuals with ADHD and ASD can originate, while improving engagement and efficiency for all.</t>
  </si>
  <si>
    <t>vr,ar,asd,game</t>
  </si>
  <si>
    <t>10.1145/3699738</t>
  </si>
  <si>
    <t>EMooly: Supporting Autistic Children in Collaborative Social-Emotional Learning with Caregiver Participation through Interactive AI-infused and AR Activities</t>
  </si>
  <si>
    <t>Children with autism spectrum disorder (ASD) have social-emotional deficits that lead to difficulties in recognizing emotions as well as understanding and responding to social interactions. This study presents EMooly, a tablet game that actively involves caregivers and leverages augmented reality (AR) and generative AI (GenAI) to enhance social-emotional learning for autistic children. Through a year of collaborative effort with five domain experts, we developed EMooly that engages children through personalized social stories, interactive and fun activities, and enhanced caregiver participation, focusing on emotion understanding and facial expression recognition. Compared with a baseline, a controlled study with 24 autistic children and their caregivers showed EMooly significantly improved children's emotion recognition skills and its novel features were preferred and appreciated. EMooly demonstrates the potential of AI and AR in enhancing social-emotional development for autistic children via prompt personalizing and engagement, and highlights the importance of caregiver involvement for optimal learning outcomes.</t>
  </si>
  <si>
    <t>ASD, GAME, AR, AI</t>
  </si>
  <si>
    <t>10.1145/3702163.3702415</t>
  </si>
  <si>
    <t>Game Theory Teaching Strategy to Improve Social Skills for Children with Autism</t>
  </si>
  <si>
    <t>Children with autism often suffer from social difficulties, impaired verbal communication, repetitive behaviors, and poor emotional control. However, these symptoms can be alleviated to some extent with timely intervention. Current studies have placed children with autism as another normal person or observer for social interaction training. Autistic children encounter difficulties in mentalizing during these trainings. Still, few studies have provided solutions for children with autism when they face interactions with people that create mentalizing difficulties. This study utilizes game theory to address the issue of mentalization in children with autism. It integrates targeted social activities with game rules and concept maps, and develops augmented reality game software to create a social skill training system. The simulation experiment results present that the game theory teaching strategy proposed in this study can teach children with ASD to make self-interested decisions when competing with people in the real world.</t>
  </si>
  <si>
    <t>10.1145/3744464.3744497</t>
  </si>
  <si>
    <t>AI-Driven Gamified Intervention Models for Autism Education Across Developmental Stages</t>
  </si>
  <si>
    <t>This article studies the application of artificial intelligence-assisted gamification therapy in children with autism spectrum disorder of different ages. The autism spectrum disorder mentioned here is what we commonly refer to as ASD children. This research combines gamification and artificial intelligence technology to provide children with personalized learning materials to improve their skills in language, social interaction and emotion. These projects will offer personalized advice to children with autism, plan learning paths suitable for them, and provide timely feedback to help them solve specific problems they encounter. This approach also designs courses based on different development stages and creates some sensory stimulating activities for children who haven't started to speak yet. Design tools that can help vocabulary development for children who are just beginning to learn languages, and design communication exercises for children with stronger learning abilities. The results of the experiment show that the children have made remarkable improvements in terms of participation, language skills, and social emotional behaviors. Artificial intelligence has potential in supporting children with autism, and it can also be seen that artificial intelligence methods play a crucial role in autism education.</t>
  </si>
  <si>
    <t>10.1177/1362361320934214</t>
  </si>
  <si>
    <t>Short report: Evaluating the safety and usability of head-mounted virtual reality compared to monitor-displayed video for children with autism spectrum disorder</t>
  </si>
  <si>
    <t>Virtual reality provides a relatively inexpensive way to learn and repeatedly practice skills in personalized, controlled, and safe computer-generated settings. These systems are increasingly receiving attention as an innovative medium for delivering interventions to children with autism spectrum disorder. Although many virtual reality systems are commercially available and their use is increasing, little is known about the safety and usability of these systems for children with autism spectrum disorder. The aim of this study was a first step in addressing this gap. A convenience sample of 35 children with a diagnosis of autism spectrum disorder participated in an immersive head-mounted display virtual reality experience and a control condition (monitor-displayed video). Levels of anxiety and negative effects experienced were not significantly different between the two conditions. Participants reported significantly enhanced spatial presence (p = 0.003; d = 0.3) and naturalness (p = 0.002; d = 0.47) for the head-mounted display–virtual reality condition, and 74% of participants preferred using head-mounted display–virtual reality over monitor-displayed video. These findings provide preliminary evidence to support the safety and usability of head-mounted display–virtual reality for children with autism spectrum disorder. Future studies are needed to replicate the results in a larger sample, a range of virtual reality experiences, and in the context of long-term exposure. Lay abstract: This study investigated the safety and usability of a virtual reality experience for children with autism spectrum disorder in a laboratory setting. In our study, the negative effects of head-mounted display–virtual reality were similar to monitor-displayed video watching. At the same time, the participants indicated that the head-mounted display–virtual reality experience provided improved realism and sense of presence. This study is a first step in understanding the impact of head-mounted display on children with autism spectrum disorder. © The Author(s) 2020.</t>
  </si>
  <si>
    <t>10.1504/IJMEI.2022.121131</t>
  </si>
  <si>
    <t>Virtual reality-based real-time solution for children with learning disabilities and slow learners - An innovative attempt</t>
  </si>
  <si>
    <t>Autism spectrum disorder (ASD) is a type of developmental disorder generally characterised by slow learning and impairments in communication and social interactions, accompanied by repetitive behaviour and limited interests. This product is an innovative attempt to support and address this issue by providing a means to assist in diagnosing ASD using telemedicine approach and also to provide an interactive and effective means of learning for children diagnosed with ASD or children with slight learning disabilities. The system features games that have been proven to be effective with children diagnosed with ASD. Virtual reality which is being speculated to be a powerful tool in helping children with learning difficulties has been used to enhance the effectiveness of these games. The concept of dynamic difficulty is also integrated into the game in order to increase or decrease the challenge of each level depending on the performance of the child which further increases the effectiveness of the game. © © 2022 Inderscience Enterprises Ltd.</t>
  </si>
  <si>
    <t>10.20372/dcidj.507</t>
  </si>
  <si>
    <t>Fostering Social Communication for Children with Autism through Augmented Reality Toys</t>
  </si>
  <si>
    <t>Purpose: The fifth edition of the Diagnostic and Statistical Manual of Mental Disorders (DSM-5) classified autism spectrum disorder (ASD) as a neurodevelopmental disorder characterised by difficulties with socialisation and communication, and with restricted interests and repetitive behaviour. The wide range of symptom types and severity of the disorder in children with ASD can range from the need for support to the need for substantial support, and sometimes even very substantial support. This paper examines an augmented reality toy application, AR Toys, which supports social communication of children with ASD, and reports on how the application was used in school classrooms. Method: AR Toys was evaluated by seven children in an Autism Centre in Melaka, Malaysia. The analysis focused entirely on observation of the interactions between children and teachers at the school. Results: It was found that AR Toys were able to: (1) motivate children with ASD on adaptive language; (2) model expressive language to identify a child’s emotion; and (3) promote pretend play on learning emotion in classroom activities. This gives children with ASD more opportunities to communicate among peers and interact with teachers at school. Conclusion: Human Computer Interaction (HCI) research using AR technologies shows positive feedback in supporting children with ASD in recognising emotions that facilitate their social communication development, leading to better understanding, communication and engagement between teachers and children. © 2023, Vrije University. All rights reserved.</t>
  </si>
  <si>
    <t>10.21926/obm.neurobiol.2301163</t>
  </si>
  <si>
    <t>New Technologies to Support People with Neurodevelopmental Disorders: A Selective Review</t>
  </si>
  <si>
    <t>Neurodevelopmental disorders represent a cluster of conditions first diagnosed during childhood or adolescence (i.e., including intellectual disability, autism spectrum disorders, motor deficits, and communication deficits). The main characteristic of neurodevelopmental disorders is the presence of a deficit or a delay in the acquisition of skills that may affect different areas of evolution (e.g., cognitive, affective, and motor). These clinical conditions make the child or adolescent passive, isolated, and unable to carry out daily activities. Additionally, challenging behaviors and emotional disruption may be acknowledged. Accordingly, negative outcomes on personal well-being may be recognized. To enhance the well-being of those persons, assistive technology-based interventions (AT) may be useful. Among the new assistive technology are virtual reality, telemedicine, telerehabilitation, serious games, computer-brain interface, and other new technologies aimed at specific rehabilitation objectives. This document aims to give the reader a framework of reference to the literature on the most recent contributions available on the technology-based programs used to improve the well-being of individuals with neurodevelopmental disorders such as: serious games, virtual reality, wearable technologies, and telerehabilitation. The results were argued and several options were outlined. The studies reviewed on the eight classes of new technologies showed the accessibility, effectiveness, and suitability of the implemented technologies to enable adaptive skills for participants with NDD. Some helpful solutions for both future research and practice have been evidenced. © 2023 by the author.</t>
  </si>
  <si>
    <t>10.2196/42117.</t>
  </si>
  <si>
    <t>Using Augmented Reality Toward Improving Social Skills: Scoping Review,</t>
  </si>
  <si>
    <t>Background
 Augmented reality (AR) has emerged as a promising technology in educational settings owing to its engaging nature. However, apart from applications aimed at the autism spectrum disorder population, the potential of AR in social-emotional learning has received less attention.
 Objective
 This scoping review aims to map the range of AR applications that improve social skills and map the characteristics of such applications.
 Methods
 In total, 2 independent researchers screened 2748 records derived from 3 databases in December 2021—PubMed, IEEE Xplore, and ACM Guide to Computing Literature. In addition, the reference lists of all the included records and existing reviews were screened. Records that had developed a prototype with the main outcome of improving social skills were included in the scoping review. Included records were narratively described for their content regarding AR and social skills, their target populations, and their outcomes. Evaluation studies were assessed for methodological quality.
 Results
 A total of 17 records met the inclusion criteria for this study. Overall, 10 records describe applications for children with autism, primarily teaching about reading emotions in facial expressions; 7 records describe applications for a general population, targeting both children and adults, with a diverse range of outcome goals. The methodological quality of evaluation studies was found to be weak.
 Conclusions
 Most applications are designed to be used alone, although AR is well suited to facilitating real-world interactions during a digital experience, including interactions with other people. Therefore, future AR applications could endorse social skills in a general population in more complex group settings.</t>
  </si>
  <si>
    <t>10.2196/51719.</t>
  </si>
  <si>
    <t>Co-Design of a Virtual Reality Multiplayer Adventure Game for Adolescents With Autism Spectrum Disorder: Mixed Methods Study,</t>
  </si>
  <si>
    <t>Background
Virtual reality (VR) adventure games can offer ideal technological solutions for training social skills in adolescents with autism spectrum disorder (ASD), leveraging their support for multisensory and multiplayer interactions over distance, which may lower barriers to training access and increase user motivation. However, the design of VR-based game environments for social skills training is still understudied and deserves the deployment of an inclusive design approach to ensure its acceptability by target users.
Objective
We aimed to present the inclusive design process that we had followed to develop the Zentastic VR adventure game to foster social skills training in adolescents with ASD and to investigate its feasibility as a training environment for adolescents.
Methods
The VR game supports multiplayer training sessions involving small groups of adolescents and their therapists, who act as facilitators. Adolescents with ASD and their therapists were involved in the design and in an explorative acceptability study of an initial prototype of the gaming environment, as well as in a later feasibility multisession evaluation of the VR game final release.
Results
The feasibility study demonstrated good acceptability of the VR game by adolescents and an enhancement of their social skills from baseline to posttraining.
Conclusions
The findings provide preliminary evidence of the benefits that VR-based games can bring to the training of adolescents with ASD and, potentially, other neurodevelopmental disorders.</t>
  </si>
  <si>
    <t>10.2196/60399</t>
  </si>
  <si>
    <t>Trends in South Korean Medical Device Development for Attention-Deficit/Hyperactivity Disorder and Autism Spectrum Disorder: Narrative Review</t>
  </si>
  <si>
    <t>Background: Attention-deficit/hyperactivity disorder (ADHD) and autism spectrum disorder (ASD) are among the most prevalent mental disorders among school-aged youth in South Korea and may play a role in the increasing pressures on teachers and school-based special education programming. A lack of support for special education; tensions between teachers, students, and parents; and limited backup for teacher absences are common complaints among Korean educators. New innovations in technology to screen and treat ADHD and ASD may offer relief to students, parents, and teachers through earlier and efficient diagnosis; access to treatment options; and ultimately, better-managed care and expectations. Objective: This narrative literature review provides an account of medical device use and development in South Korea for the diagnosis and management of ADHD and ASD and highlights research gaps. Methods: A narrative review was conducted across 4 databases (PubMed, Korean National Assembly Library, Scopus, and PsycINFO). Journal articles, dissertations, and government research and development reports were included if they discussed medical devices for ADHD and ASD. Only Korean or English papers were included. Resources were excluded if they did not correspond to the research objective or did not discuss at least 1 topic about medical devices for ADHD and ASD. Journal articles were excluded if they were not peer reviewed. Resources were limited to publications between 2013 and July 22, 2024. Results: A total of 1794 records about trends in Korean medical device development were categorized into 2 major groups: digital therapeutics and traditional therapy. Digital therapeutics resulted in 5 subgroups: virtual reality and artificial intelligence, machine learning and robot, gaming and visual contents, eye-feedback and movement intervention, and electroencephalography and neurofeedback. Traditional therapy resulted in 3 subgroups: cognitive behavioral therapy and working memory; diagnosis and rating scale; and musical, literary therapy, and mindfulness-based stress reduction. Digital therapeutics using artificial intelligence, machine learning, and electroencephalography technologies account for the biggest portions of development in South Korea, rather than traditional therapies. Most resources, 94.15% (1689/1794), were from the Korean National Assembly Library. Conclusions: Limitations include small sizes of populations to conclude findings in many articles, a lower number of articles discussing medical devices for ASD, and a majority of articles being dissertations. Emerging digital medical devices and those integrated with traditional therapies are important solutions to reducing the prevalence rates of ADHD and ASD in South Korea by promoting early diagnosis and intervention. Furthermore, their application will relieve pressures on teachers and school-based special education programming by providing direct supporting resources to students with ADHD or ASD. Future development of medical devices for ADHD and ASD is predicted to heavily rely on digital technologies, such as those that sense people’s behaviors, eye movement, and brainwaves. © Yunah Cho, Sharon L Talboys.</t>
  </si>
  <si>
    <t>10.2196/games.8428.</t>
  </si>
  <si>
    <t>Virtual Travel Training for Autism Spectrum Disorder: Proof-of-Concept Interventional Study,</t>
  </si>
  <si>
    <t>Background
Autism Spectrum Disorder (ASD) is a neurodevelopmental disorder characterized by impairments in social interaction and repetitive patterns of behavior, which can lead to deficits in adaptive behavior. In this study, a serious game was developed to train individuals with ASD for an important type of outdoor activity, which is the use of buses as a means of transportation.
Objective
The aim of this study was to develop a serious game that defines a “safe environment” where the players became familiar with the process of taking a bus and to validate if it could be used effectively to teach bus-taking routines and adaptive procedures to individuals with ASD.
Methods
In the game, players were placed in a three-dimensional city and were submitted to a set of tasks that involved taking buses to reach specific destinations. Participants with ASD (n=10) underwent between 1 to 3 training sessions. Participants with typical development (n=10) were also included in this study for comparison purposes and received 1 control session.
Results
We found a statistically significant increase in the measures of knowledge of the process of riding a bus, a reduction in the electrodermal activity (a metric of anxiety) measured inside the bus environments, and a high success rate of their application within the game (93.8%).
Conclusions
The developed game proved to be potentially useful in the context of emerging immersive virtual reality technologies, of which use in therapies and serious games is still in its infancy. Our findings suggest that serious games, using these technologies, can be used effectively in helping people with ASD become more independent in outdoor activities, specifically regarding the use of buses for transportation.</t>
  </si>
  <si>
    <t>ASD,GAME,VR</t>
  </si>
  <si>
    <t>10.3389/fped.2017.00145</t>
  </si>
  <si>
    <t>Feasibility of an autism-focused augmented reality smartglasses system for social communication and behavioral coaching</t>
  </si>
  <si>
    <t>Background:Autism spectrum disorder (ASD) is a childhood-onset neurodevelopmental disorder with a rapidly rising prevalence, currently affecting 1 in 68 children, and over 3.5 million people in the United States. Current ASD interventions are primarily based on in-person behavioral therapies that are both costly and difficult to access. These interventions aim to address some of the fundamental deficits that clinically characterize ASD, including deficits in social communication, and the presence of stereotypies, and other autism-related behaviors. Current diagnostic and therapeutic approaches seldom rely on quantitative data measures of symptomatology, severity, or condition trajectory. Methods:Given the current situation, we report on the Brain Power System (BPS), a digital behavioral aid with quantitative data gathering and reporting features. The BPS includes customized smartglasses, providing targeted personalized coaching experiences through a family of gamified augmented-reality applications utilizing artificial intelligence. These applications provide children and adults with coaching for emotion recognition, face directed gaze, eye contact, and behavioral self-regulation. This preliminary case report, part of a larger set of upcoming research reports, explores the feasibility of the BPS to provide coaching in two boys with clinically diagnosed ASD, aged 8 and 9 years. Results:The coaching intervention was found to be well tolerated and rated as being both engaging and fun. Both males could easily use the system, and no technical problems were noted. During the intervention, caregivers reported improved non-verbal communication, eye contact, and social engagement during the intervention. Both boys demonstrated decreased symptoms of ASD, as measured by the aberrant behavior checklist at 24-h post-intervention. Specifically, both cases demonstrated improvements in irritability, lethargy, stereotypy, hyperactivity/non-compliance, and inappropriate speech. conclusion:Smartglasses using augmented reality may have an important future role in helping address the therapeutic needs of children with ASD. Quantitative data gathering from such sensor-rich systems may allow for digital phenotyping and the refinement of social communication constructs of the research domain criteria. This report provides evidence for the feasibility, usability, and tolerability of one such specialized smartglasses system. © 2017 Liu, Salisbury, Vahabzadeh and Sahin.</t>
  </si>
  <si>
    <t>10.3389/fped.2022.775356</t>
  </si>
  <si>
    <t>Gaming Technology for Pediatric Neurorehabilitation: A Systematic Review</t>
  </si>
  <si>
    <t>Introduction: The emergence of gaming technologies, such as videogames and virtual reality, provides a wide variety of possibilities in intensively and enjoyably performing rehabilitation for children with neurological disorders. Solid evidence-based results are however required to promote the use of different gaming technologies in pediatric neurorehabilitation, while simultaneously exploring new related directions concerning neuro-monitoring and rehabilitation in familiar settings. Aim of the Study and Methods: In order to analyze the state of the art regarding the available gaming technologies for pediatric neurorehabilitation, Scopus and Pubmed Databases have been searched by following: PRISMA statements, PICOs classification, and PEDro scoring. Results: 43 studies have been collected and classified as follows: 11 feasibility studies; six studies proposing home-system solutions; nine studies presenting gamified robotic devices; nine longitudinal intervention trials; and eight reviews. Most of them rely on feasibility or pilot trials characterized by small sample sizes and short durations; different methodologies, outcome assessments and terminologies are involved; the explored spectrum of neurological conditions turns out to be scanty, mainly including the most common and wider debilitating groups of conditions in pediatric neurology: cerebral palsy, brain injuries and autism. Conclusion: Even though it highlights reduced possibilities of drawing evidence-based conclusions due to the above outlined biases, this systematic review raises awareness among pediatricians and other health professionals about gaming technologies. Such a review also points out a definite need of rigorous studies that clearly refer to the underlying neuroscientific principles. © © 2022 Iosa, Verrelli, Gentile, Ruggieri and Polizzi.</t>
  </si>
  <si>
    <t>10.3389/fpsyt.2025.1604937</t>
  </si>
  <si>
    <t>Global autism prevalence, and exploring Montessori as a practical educational solution: a systematic review</t>
  </si>
  <si>
    <t>Introduction: Autism spectrum disorder (ASD) is a neurodevelopmental condition that impairs social interaction, communication, and appropriate behavior. Methods: Out of 1,740 articles initially identified through electronic databases using PRISMA guidelines and the PICOS framework, only 15 met the inclusion criteria for this review. Results: Although the precise etiology of autism remains unclear in most cases, from cohort studies, the heritability as a potential cause is estimated to range between 50% and 80%, taking into account consistent environmental risk factors such as parental age, pollution, and maternal infections during pregnancy. Several autism-related gene mutations have also been identified. Recommended interventions include applied behavior analysis, speech therapy, pharmacological treatment, and emerging techniques such as artificial intelligence, virtual reality, and microbiome-based approaches. Pharmacological agents like Risperidone and Aripiprazole can alleviate specific symptoms but do not target the core features of ASD. Additional evidence-based therapies, including occupational therapy and sensory integration, have demonstrated benefits in enhancing functional outcomes. Discussion: Montessori education, a sensory-focused, individualized, and play-based learning approach, aligns well with the individual learning needs of ASD and shows considerable potential in improving communication and social skills in children with ASD. This systematic review underscores geographic disparities and risk factors associated with autism while uniquely assessing Montessori education as a promising intervention, paving the way for further research in low-resource settings. © © 2025 Li.</t>
  </si>
  <si>
    <t>10.3390/app10092996</t>
  </si>
  <si>
    <t>SoundFields: A virtual reality game designed to address auditory hypersensitivity in individuals with autism spectrum disorder</t>
  </si>
  <si>
    <t>Individuals with autism spectrum disorder (ASD) are characterised as having impairments in social-emotional interaction and communication, alongside displaying repetitive behaviours and interests. Additionally, they can frequently experience difficulties in processing sensory information with particular prevalence in the auditory domain. Often triggered by everyday environmental sounds, auditory hypersensitivity can provoke self-regulatory fear responses such as crying and isolation from sounds. This paper presents SoundFields, an interactive virtual reality game designed to address this area by integrating exposure based therapy techniques into game mechanics and delivering target auditory stimuli to the player rendered via binaural based spatial audio. A pilot study was conductedwith six participants diagnosedwithASDwho displayed hypersensitivity to specific sounds to evaluate the use of SoundFields as a tool to reduce levels of anxiety associated with identified problematic sounds. During the course of the investigation participants played the game weekly over four weeks and all participants actively engaged with the virtual reality (VR) environment and enjoyed playing the game. Following this period, a comparison of pre- and post-study measurements showed a significant decrease in anxiety linked to target auditory stimuli. The study results therefore suggest that SoundFields could be an effective tool for helping individuals with autism manage auditory hypersensitivity. © 2020 by the authors.</t>
  </si>
  <si>
    <t>10.3390/children9091398</t>
  </si>
  <si>
    <t>Feasibility of Using Multiplayer Game-Based Dual-Task Training with Augmented Reality and Personal Health Record on Social Skills and Cognitive Function in Children with Autism</t>
  </si>
  <si>
    <t>The purpose of this preliminary study was to evaluate the feasibility of multiplayer game contents with dual-task exercises using augmented reality (AR) and a personal health record (PHR) system for social skills and cognitive function in children with autism. The present study used a single group pretest–posttest study design with fourteen children diagnosed with autism and aged 6–16 years. The intervention consisted of various game contents designed specifically with cognitive and motor tasks, performed for 30 min per session, twice a week, for three weeks. Outcome measures were conducted before and after the intervention and included social skills and cognitive function. A satisfactory survey was conducted post-intervention to assess the usability of the performed games. As result, statistically significant improvements were observed in all subscales of the social skills and cognitive function expected in two subscales of each measured outcome. Parents and children appreciated the overall game program, and no risk of injury and dizziness were mentioned. This preliminary study found that multiplayer game-based dual-task training using AR and PHR was feasible and has a promising efficacy for children with autism. However, there is the need to conduct a randomized control study with a large sample size. © 2022 by the authors.</t>
  </si>
  <si>
    <t>10.3390/computers12030055</t>
  </si>
  <si>
    <t>Design and Prototype Development of Augmented Reality in Reading Learning for Autism</t>
  </si>
  <si>
    <t>(1) Background: Augmented reality is no less popular than virtual reality. This technology has begun to be used in education fields, one of which is special education. Merging the real and virtual worlds is the advantage of augmented reality. However, it needs special attention in making software for children with special needs, such as children with autism. This paper presents an application prototype by paying attention to the characteristics of autistic individuals according to the Autism Guide, that has existed in previous studies. (2) Method: The method used in the development of this prototype is the Linear Sequential Model. Application development is made using Unity3D, Vuforia, and Adobe Illustrator by considering accessibility and other conveniences for developers. (3) Results: The prototype was developed with reference to the Autism Guide, then validated by media experts and autistic experts with the results of the assessment obtaining a score of 87.3/100 which is in the “Very Good” category and is suitable for use. (4) Conclusions: The development of a prototype that refers to the characteristics of children with autism needs to be considered so that what will be conveyed can be easily accepted. © 2023 by the authors.</t>
  </si>
  <si>
    <t>10.3390/healthcare10101981</t>
  </si>
  <si>
    <t>Effects of Augmented Reality Game-Based Cognitive–Motor Training on Restricted and Repetitive Behaviors and Executive Function in Patients with Autism Spectrum Disorder</t>
  </si>
  <si>
    <t>Restricted and repetitive behaviors (RRBs) and executive dysfunction are widely acknowledged as core features and hallmarks in patients with autism spectrum disorder (ASD). This study aimed to investigate the effects of augmented reality (AR) using motivational games with cognitive–motor exercises on RRBs, executive function (EF), attention, and reaction time in patients with ASD. Twenty-four patients (range from 6 to 18 years) diagnosed with ASD were recruited from local social welfare centers and randomly allocated to the AR game-based cognitive–motor training group (study group) or the conventional cognitive training group (control group). Both groups completed 30 min training sessions, twice a week for four weeks. Outcome measures were conducted before and after the intervention. As a result, improvements were observed in all the subscales of the RRBs in the study group except for self-injurious and ritualistic behavior. Significant improvements were observed in EF and reaction time in the study group, which was significantly higher compared to the control group. With the present findings, we can suggest that cognitive–motor training using AR game-based content generates positive effects on improving executive function reaction time and accuracy of responses and has a limited effect on RRBs in patients with ASD. This can be proposed as a complementary intervention associated with individualized daily management. © 2022 by the authors.</t>
  </si>
  <si>
    <t>10.3390/ijerph191912474</t>
  </si>
  <si>
    <t>The Use of Binaural Based Spatial Audio in the Reduction of Auditory Hypersensitivity in Autistic Young People</t>
  </si>
  <si>
    <t>10.4018/979-8-3693-7437-5.ch009</t>
  </si>
  <si>
    <t>The impact of a gamified augmented environment on language skills in students with ASD</t>
  </si>
  <si>
    <t>This study investigates the impact of a Gamified Augmented Environment (GAE) intervention on language skills in students with Autism Spectrum Disorder (ASD) (N=54). It explores the effects of individual student variables such as age, gender, ASD severity, comorbidity, and language type. Employing a quantitative, exploratory methodology, language skills were assessed using the DiagnosticApp instrument before (pre-test) and after (post-test) the GAE intervention. Findings revealed a significant improvement in language skills post-intervention, particularly in the expansion of vocabulary related to animals and pirates, the theme of the GAE. ASD severity was found to be a significant factor, with students experiencing more severe ASD exhibiting lower scores due to cognitive limitations. Age and gender did not significantly impact scores. Overall, the study highlights the effectiveness of the Gamified Augmented Environment in providing a motivating and immersive experience through augmented reality, thereby enhancing language skills in students through engaging in a pirate adventure. © 2025, IGI Global Scientific Publishing. All rights reserved.</t>
  </si>
  <si>
    <t>10.4018/979-8-3693-8985-0.ch011</t>
  </si>
  <si>
    <t>Current advancements in AI-driven education</t>
  </si>
  <si>
    <t>With the rise of Artificial Intelligence (AI), smart computing, and high- speed internet, education is undergoing a profound transformation. Learning is no longer confined to traditional classrooms; instead, AI- driven tools are making education more personalized, interactive, and accessible to students worldwide. In an era where global migration, conflicts, and resource shortages pose serious challenges to education, AI offers innovative solutions to bridge learning gaps and ensure that quality education reaches even the most underserved communities. Additionally, today's learners-often referred to as cyber nomads-are growing up surrounded by technology, making it essential to adapt educational methods to their digital-first way of learning. AI is also proving to be a game- changer for students with special needs, such as those with autism, by offering tailored support that traditional systems struggle to provide. This chapter delves into three major areas where AI is reshaping education. First, AI-powered personalized learning systems are revolutionizing how students learn by offering adaptive platforms, AI tutors, and real- time analytics that customize education to fit individual needs. Second, AI- driven content creation and assessment are enhancing the way educational materials are developed, automating lesson planning and grading while integrating interactive experiences like gamification and AR/VR- based learning. Finally, AI- driven administrative and institutional innovations are streamlining operations in schools and universities, making tasks like enrolment, scheduling, and performance tracking more efficient, while also using predictive analytics to help students stay on track. By exploring these advancements, this chapter aligns with the book's goal of highlighting cuttingedge AI applications that are shaping the future of education. It provides insights into how AI is transforming learning at all levels-from kindergarten to higher education-and discusses its potential to create a more inclusive, efficient, and engaging educational experience. This chapter will serve as a valuable resource for educators, administrators, and technology developers looking to harness AI's power to build a smarter, more adaptable learning environment for the next generation. © 2025, IGI Global Scientific Publishing. All rights reserved.</t>
  </si>
  <si>
    <t>VR, AR, AI, GAME, ASD</t>
  </si>
  <si>
    <t>10.4324/9781003384113-39</t>
  </si>
  <si>
    <t>SMART DESIGN AND AI FOR DEVELOPMENTAL DISABILITIES: Characteristics of People with Autism Spectrum Disorders and Other Developmental Disabilities</t>
  </si>
  <si>
    <t>In the United States, approximately 1 in 6 children in the 3-17-year age range are diagnosed with a developmental disability. Developmental disabilities (DDs) include autism spectrum disorders, attention-deficit/hyperactivity disorder (ADHD), blindness, cerebral palsy, moderate to profound hearing loss, intellectual disability, and other developmental delays (CDC, 2023). Children with DD may experience delays with learning and problems with behavior. Adults may struggle with vocational training, communication, social skills, and basic living skills. Each individual is different, but many people who are neurodivergent struggle with social interaction, repetitive and restricted behaviors, and nonverbal communication. The use of technology, including artificial intelligence (AI), is being used in assessment, diagnosis, therapy, learning, accommodations for everyday activities, and in assisting researchers. Early detection is key to improved outcomes, and AI is being investigated as a means for screening and diagnosis. Robotic playmates can aid in both screening and providing therapeutic interventions. Identifying biomarkers is also underway utilizing technological advances such as functional magnetic resonance imaging (fMRI). The use of virtual reality (VR) and augmented reality (AR) are providing successful interventions and show promise in many applications due to their realistic experience. AR and VR are currently being utilized to improve social skills and educational outcomes in a variety of settings. Accessibility to technology is becoming more widely available, and positive outcomes are being identified in problem-solving, engagement, communication, job interview skills, tactile tolerance, independence, and activities of daily living. Since many individuals struggle with processing sensory information, the use of VR/AR provides training or diagnosis provides a safe and more predictable environment while allowing for individual preferences. Benefits of AI are currently realized and the potential for future advancement is great. © 2025 selection and editorial matter, Mitra Kanaani individual chapters, the contributors.</t>
  </si>
  <si>
    <t>vr,ar,asd,game,AI</t>
  </si>
  <si>
    <t>10.46661/ijeri.6820</t>
  </si>
  <si>
    <t>A gamified environment supported by augmented reality for improving communicative competencies in students with ASD: design and validation; Un entorno gamificado apoyado en realidad aumentada para potenciar la competencia comunicativa en alumnado con TEA: diseño y validación</t>
  </si>
  <si>
    <t>The objective of this study was to design and validate an Augmented Gamified Environment (AGE) for improving communicative skills in students with ASD. The study used a mixed methodology: a) qualitative, focused on a single case to describe the AGE design process. The environment uses a pirate adventure story which includes gamified activities supported by augmented reality. It promotes immersive learning through activities that encourage social, linguistic, and cognitive skills linked to symbolic play; and b) quantitative, based on the Delphi method in which experts (N=12) evaluated the environment using 14 indicators in four dimensions: adaptability to the pace of learning, suitability of the base and code for presenting the content, didactic potential for developing competence, and the suitability of the gamification process for students with ASD. The expert assessment helped to improve the adaptability, flexibility, and functionality of the AGE, which incorporated versatile and augmented reality activities and applications to provide the student with playful linguistic and socio-emotional development in an immersive environment. © 2023, Universidad Pablo de Olavide. All rights reserved.</t>
  </si>
  <si>
    <t>10.5958/0974-360X.2017.00492.9</t>
  </si>
  <si>
    <t>A review on computer and virtual based interventions for autistic children</t>
  </si>
  <si>
    <t>Repetitive stereotypical behavior characterizes autistic individuals, lacking in social skills including communication and emotional understanding and loss of cognitive abilities in certain severe cases. To improve their life in the society, some therapeutic methods have been devised. Autistic children tend to get confused and disturbed when subjected to social interactions as there are too many aspects such as facial expressions, emotions, body language that they need to concentrate on and comprehend to have successful communication while technology interventions simplify the situation by providing a platform to assess each aspect separately. Furthermore, it allows a stepwise approach towards social interactions especially in the case of virtual reality environments and games. Methods/Analysis: Various feedback systems can be employed as part of the technology to understand the extent of receptivity of the child while they participate in the activity. Findings: The following paper discusses interventions for autistic children which are computer and virtual reality based and divided into the following sections: Eye tracking, eye contact, and facial expression detection, teaching using games, learning with peers, emotional understanding, rehabilitation, relearning and software application based therapy. © RJPT All right reserved.</t>
  </si>
  <si>
    <t>10.7498/aps.65.108701</t>
  </si>
  <si>
    <t>Sample entropy of electroencephalogram for children with autism based on virtual driving game</t>
  </si>
  <si>
    <t>Autism spectrum disorder is a kind of mental disease which involves the disorders of the perception, emotion, memory, language, intelligence, thinking, action, etc. The aim of this paper is to investigate the brain activity characteristics of the children with autism during complex environments by analyzing electroencephalogram (EEG) signals from the neuroergonomics perspective. The virtual driving environment as a complex multi-task source is used to organically connect brain systems with human motion control. The 14-channel EEG signals are obtained including the EEG baseline signals on a resting state (about 3 min) and the EEG activity signals during driving (about 5 min). The method of the shift average sample entropy is proposed to deal with EEG signals in the resting and the virtual driving environments. Considering the highly complex hyper-dimensional characteristics of EEG signals, the different embedding dimensions (such as 2 and 6 dimensions) are analyzed in the sample entropy estimation. The results show that the average sample entropy values of autism spectrum disorder (ASD) subjects are lower than those of healthy subjects during resting and driving, respectively, especially in the prefrontal lobe, temporal lobe, parietal lobe and occipital lobe during resting and in temporal lobe and occipital lobe during driving. It indicates that ASD children lack the ability to adapt easily their behaviors. Meanwhile, like healthy subjects, the average sample entropy values of ASD subjects during driving are higher than those during resting as a whole. Moreover, the EEG activity signals of ASD are obviously higher than the EEG baseline signals in prefrontal lobe, frontal lobe, frontal central lobe and temporal lobe regions in 95% significant level. And for healthy subjects, the activity signals are significantly higher than the baseline signals only in parietal lobe region. Furthermore, the brain activities of ASD subjects during driving come closer to those of healthy subjects during resting. It suggests that the virtual driving environment may be helpful for the treatment of ASD individuals. In addition, the ASD and healthy subjects have a certain right hemisphere dominance in the whole region except in the parietal lobe region. In the parietal lobe region, they have some left hemisphere dominance, especially during driving. And for ASD subjects, there is the significant right hemisphere dominance in the temporal lobe in 95% confidence level no matter whether in the resting state or in the driving state. The results show that it is suitable for the shift average sample entropy analysis to study the brain activities of ASD individuals. This study will provide a new research method for the further research on the mechanism of autism and its diagnosis, evaluation and intervention. © 2016 Chinese Physical Society.</t>
  </si>
  <si>
    <t>10.7717/peerj.2899</t>
  </si>
  <si>
    <t>Detecting communicative intent in a computerised test of joint attention</t>
  </si>
  <si>
    <t>The successful navigation of social interactions depends on a range of cognitive faculties-including the ability to achieve joint attention with others to share in- formation and experiences. We investigated the influence that intention monitoring processes have on gaze-following response times during joint attention. We employed a virtual reality task in which 16 healthy adults engaged in a collaborative game with a virtual partner to locate a target in a visual array. In the Search task, the virtual partner was programmed to engage in non-communicative gaze shifts in search of the target, establish eye contact, and then display a communicative gaze shift to guide the participant to the target. In the NoSearch task, the virtual partner simply established eye contact and then made a single communicative gaze shift towards the target (i.e., there were no non-communicative gaze shifts in search of the target). Thus, only the Search task required participants to monitor their partner's communicative intent before responding to joint attention bids. We found that gaze following was significantly slower in the Search task than the NoSearch task. However, the same effect on response times was not observed when participants completed non-social control versions of the Search and NoSearch tasks, in which the avatar's gaze was replaced by arrow cues. These data demonstrate that the intention monitoring processes involved in differentiating communicative and non-communicative gaze shifts during the Search task had a measurable influence on subsequent joint attention behaviour. The empirical and methodological implications of these findings for the fields of autism and social neuroscience will be discussed. © 2017 Caruana et al.</t>
  </si>
  <si>
    <t>Virtual Reality Music-Based Game as a Co-Tool to Diagnose Autism in Young Children</t>
  </si>
  <si>
    <t>Effectiveness of Virtual Realityin Improving Learning Outcomes for Children with Autism</t>
  </si>
  <si>
    <t>Identification, Analysis, and Intervention of Behavioral Characteristics in Children with Autism Spectrum Disorder in VR Environments: An Optimized Approach</t>
  </si>
  <si>
    <t>Tailored virtual environments for facilitating school transition in children with autism</t>
  </si>
  <si>
    <t>Virtual Reality on Assessing the Motor Skills of Individuals with Autism Spectrum Disorder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</si>
</sst>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Calibri"/>
    </font>
    <font>
      <sz val="11"/>
      <color theme="1"/>
      <name val="Calibri"/>
    </font>
    <font>
      <sz val="11"/>
      <color rgb="FF000000"/>
      <name val="Calibri"/>
    </font>
    <font>
      <sz val="11"/>
      <color theme="1"/>
      <name val="Calibri"/>
      <scheme val="minor"/>
    </font>
  </fonts>
  <fills count="4">
    <fill>
      <patternFill patternType="none"/>
    </fill>
    <fill>
      <patternFill patternType="gray125"/>
    </fill>
    <fill>
      <patternFill patternType="solid">
        <fgColor rgb="FFFFFF00"/>
        <bgColor rgb="FFFFFF00"/>
      </patternFill>
    </fill>
    <fill>
      <patternFill patternType="solid">
        <fgColor rgb="FFF4CCCC"/>
        <bgColor rgb="FFF4CC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top"/>
    </xf>
    <xf numFmtId="0" fontId="2" fillId="0" borderId="1" xfId="0" applyFont="1" applyBorder="1"/>
    <xf numFmtId="0" fontId="2" fillId="3" borderId="1" xfId="0" applyFont="1" applyFill="1" applyBorder="1"/>
    <xf numFmtId="0" fontId="3" fillId="0" borderId="1" xfId="0" applyFont="1" applyBorder="1"/>
    <xf numFmtId="0" fontId="2" fillId="3" borderId="0" xfId="0" applyFont="1" applyFill="1"/>
    <xf numFmtId="0" fontId="4" fillId="0" borderId="1" xfId="0" applyFont="1" applyBorder="1"/>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11"/>
  <sheetViews>
    <sheetView tabSelected="1" topLeftCell="A98" workbookViewId="0">
      <selection activeCell="C121" sqref="C121"/>
    </sheetView>
  </sheetViews>
  <sheetFormatPr baseColWidth="10" defaultColWidth="14.42578125" defaultRowHeight="15" customHeight="1" x14ac:dyDescent="0.25"/>
  <cols>
    <col min="1" max="1" width="42.28515625" customWidth="1"/>
    <col min="2" max="2" width="16.140625" customWidth="1"/>
    <col min="3" max="3" width="23.140625" customWidth="1"/>
    <col min="4" max="4" width="42.42578125" customWidth="1"/>
    <col min="5" max="5" width="15.85546875" customWidth="1"/>
    <col min="6" max="6" width="10.5703125" customWidth="1"/>
    <col min="7" max="8" width="9.28515625" customWidth="1"/>
    <col min="9" max="9" width="83.28515625" customWidth="1"/>
    <col min="10" max="24" width="10.7109375" customWidth="1"/>
  </cols>
  <sheetData>
    <row r="1" spans="1:9" ht="14.25" customHeight="1" x14ac:dyDescent="0.25">
      <c r="A1" s="1" t="s">
        <v>0</v>
      </c>
      <c r="B1" s="1" t="s">
        <v>1</v>
      </c>
      <c r="C1" s="1" t="s">
        <v>2</v>
      </c>
      <c r="D1" s="1" t="s">
        <v>3</v>
      </c>
      <c r="E1" s="1" t="s">
        <v>4</v>
      </c>
      <c r="F1" s="1" t="s">
        <v>5</v>
      </c>
      <c r="G1" s="1" t="s">
        <v>6</v>
      </c>
      <c r="H1" s="1" t="s">
        <v>7</v>
      </c>
      <c r="I1" s="1" t="s">
        <v>8</v>
      </c>
    </row>
    <row r="2" spans="1:9" ht="14.25" customHeight="1" x14ac:dyDescent="0.25">
      <c r="A2" s="2" t="s">
        <v>9</v>
      </c>
      <c r="B2" s="2" t="s">
        <v>10</v>
      </c>
      <c r="C2" s="2" t="s">
        <v>11</v>
      </c>
      <c r="D2" s="2" t="s">
        <v>12</v>
      </c>
      <c r="E2" s="2" t="str">
        <f t="shared" ref="E2:E118" si="0">IF(ISNUMBER(SEARCH("VR", D2)), "VR", "") &amp;
IF(ISNUMBER(SEARCH("AR", D2)), IF(ISNUMBER(SEARCH("VR", D2)), ", AR", "AR"), "") &amp;
IF(ISNUMBER(SEARCH("MR", D2)), IF(OR(ISNUMBER(SEARCH("VR", D2)), ISNUMBER(SEARCH("AR", D2))), ", MR", "MR"), "")</f>
        <v>VR</v>
      </c>
      <c r="F2" s="2">
        <f t="shared" ref="F2:F118" si="1">IF(ISNUMBER(SEARCH("GAME", D2)), 1, 0)</f>
        <v>1</v>
      </c>
      <c r="G2" s="2">
        <f t="shared" ref="G2:G118" si="2">IF(ISNUMBER(SEARCH("ASD", D2)), 1, 0)</f>
        <v>1</v>
      </c>
      <c r="H2" s="2">
        <f t="shared" ref="H2:H118" si="3">IF(ISNUMBER(SEARCH("AI", D2)), 1, 0)</f>
        <v>0</v>
      </c>
      <c r="I2" s="2" t="s">
        <v>13</v>
      </c>
    </row>
    <row r="3" spans="1:9" ht="14.25" customHeight="1" x14ac:dyDescent="0.25">
      <c r="A3" s="2" t="s">
        <v>14</v>
      </c>
      <c r="B3" s="2" t="s">
        <v>15</v>
      </c>
      <c r="C3" s="2" t="s">
        <v>16</v>
      </c>
      <c r="D3" s="2" t="s">
        <v>17</v>
      </c>
      <c r="E3" s="2" t="str">
        <f t="shared" si="0"/>
        <v>AR</v>
      </c>
      <c r="F3" s="2">
        <f t="shared" si="1"/>
        <v>1</v>
      </c>
      <c r="G3" s="2">
        <f t="shared" si="2"/>
        <v>1</v>
      </c>
      <c r="H3" s="2">
        <f t="shared" si="3"/>
        <v>0</v>
      </c>
      <c r="I3" s="3" t="s">
        <v>18</v>
      </c>
    </row>
    <row r="4" spans="1:9" ht="14.25" customHeight="1" x14ac:dyDescent="0.25">
      <c r="A4" s="2" t="s">
        <v>19</v>
      </c>
      <c r="B4" s="2" t="s">
        <v>20</v>
      </c>
      <c r="C4" s="2" t="s">
        <v>21</v>
      </c>
      <c r="D4" s="2" t="s">
        <v>12</v>
      </c>
      <c r="E4" s="2" t="str">
        <f t="shared" si="0"/>
        <v>VR</v>
      </c>
      <c r="F4" s="2">
        <f t="shared" si="1"/>
        <v>1</v>
      </c>
      <c r="G4" s="2">
        <f t="shared" si="2"/>
        <v>1</v>
      </c>
      <c r="H4" s="2">
        <f t="shared" si="3"/>
        <v>0</v>
      </c>
      <c r="I4" s="2"/>
    </row>
    <row r="5" spans="1:9" ht="14.25" customHeight="1" x14ac:dyDescent="0.25">
      <c r="A5" s="2" t="s">
        <v>22</v>
      </c>
      <c r="B5" s="2" t="s">
        <v>23</v>
      </c>
      <c r="C5" s="2" t="s">
        <v>24</v>
      </c>
      <c r="D5" s="2" t="s">
        <v>17</v>
      </c>
      <c r="E5" s="2" t="str">
        <f t="shared" si="0"/>
        <v>AR</v>
      </c>
      <c r="F5" s="2">
        <f t="shared" si="1"/>
        <v>1</v>
      </c>
      <c r="G5" s="2">
        <f t="shared" si="2"/>
        <v>1</v>
      </c>
      <c r="H5" s="2">
        <f t="shared" si="3"/>
        <v>0</v>
      </c>
      <c r="I5" s="2" t="s">
        <v>25</v>
      </c>
    </row>
    <row r="6" spans="1:9" ht="14.25" customHeight="1" x14ac:dyDescent="0.25">
      <c r="A6" s="2" t="s">
        <v>26</v>
      </c>
      <c r="B6" s="2" t="s">
        <v>27</v>
      </c>
      <c r="C6" s="2" t="s">
        <v>28</v>
      </c>
      <c r="D6" s="2" t="s">
        <v>29</v>
      </c>
      <c r="E6" s="2" t="str">
        <f t="shared" si="0"/>
        <v>VR</v>
      </c>
      <c r="F6" s="2">
        <f t="shared" si="1"/>
        <v>1</v>
      </c>
      <c r="G6" s="2">
        <f t="shared" si="2"/>
        <v>1</v>
      </c>
      <c r="H6" s="2">
        <f t="shared" si="3"/>
        <v>0</v>
      </c>
      <c r="I6" s="2"/>
    </row>
    <row r="7" spans="1:9" ht="14.25" customHeight="1" x14ac:dyDescent="0.25">
      <c r="A7" s="2" t="s">
        <v>30</v>
      </c>
      <c r="B7" s="2" t="s">
        <v>31</v>
      </c>
      <c r="C7" s="2" t="s">
        <v>32</v>
      </c>
      <c r="D7" s="2" t="s">
        <v>33</v>
      </c>
      <c r="E7" s="2" t="str">
        <f t="shared" si="0"/>
        <v>AR</v>
      </c>
      <c r="F7" s="2">
        <f t="shared" si="1"/>
        <v>1</v>
      </c>
      <c r="G7" s="2">
        <f t="shared" si="2"/>
        <v>1</v>
      </c>
      <c r="H7" s="2">
        <f t="shared" si="3"/>
        <v>0</v>
      </c>
      <c r="I7" s="2"/>
    </row>
    <row r="8" spans="1:9" ht="14.25" customHeight="1" x14ac:dyDescent="0.25">
      <c r="A8" s="2" t="s">
        <v>34</v>
      </c>
      <c r="B8" s="2" t="s">
        <v>35</v>
      </c>
      <c r="C8" s="2" t="s">
        <v>36</v>
      </c>
      <c r="D8" s="2" t="s">
        <v>37</v>
      </c>
      <c r="E8" s="2" t="str">
        <f t="shared" si="0"/>
        <v>VR</v>
      </c>
      <c r="F8" s="2">
        <f t="shared" si="1"/>
        <v>1</v>
      </c>
      <c r="G8" s="2">
        <f t="shared" si="2"/>
        <v>1</v>
      </c>
      <c r="H8" s="2">
        <f t="shared" si="3"/>
        <v>0</v>
      </c>
      <c r="I8" s="2"/>
    </row>
    <row r="9" spans="1:9" ht="14.25" customHeight="1" x14ac:dyDescent="0.25">
      <c r="A9" s="4" t="s">
        <v>38</v>
      </c>
      <c r="B9" s="4" t="s">
        <v>39</v>
      </c>
      <c r="C9" s="4" t="s">
        <v>40</v>
      </c>
      <c r="D9" s="4" t="s">
        <v>41</v>
      </c>
      <c r="E9" s="2" t="str">
        <f t="shared" si="0"/>
        <v>AR, MR</v>
      </c>
      <c r="F9" s="2">
        <f t="shared" si="1"/>
        <v>1</v>
      </c>
      <c r="G9" s="2">
        <f t="shared" si="2"/>
        <v>1</v>
      </c>
      <c r="H9" s="2">
        <f t="shared" si="3"/>
        <v>0</v>
      </c>
      <c r="I9" s="2"/>
    </row>
    <row r="10" spans="1:9" ht="14.25" customHeight="1" x14ac:dyDescent="0.25">
      <c r="A10" s="2" t="s">
        <v>42</v>
      </c>
      <c r="B10" s="2" t="s">
        <v>43</v>
      </c>
      <c r="C10" s="2" t="s">
        <v>44</v>
      </c>
      <c r="D10" s="2" t="s">
        <v>29</v>
      </c>
      <c r="E10" s="2" t="str">
        <f t="shared" si="0"/>
        <v>VR</v>
      </c>
      <c r="F10" s="2">
        <f t="shared" si="1"/>
        <v>1</v>
      </c>
      <c r="G10" s="2">
        <f t="shared" si="2"/>
        <v>1</v>
      </c>
      <c r="H10" s="2">
        <f t="shared" si="3"/>
        <v>0</v>
      </c>
      <c r="I10" s="3" t="s">
        <v>45</v>
      </c>
    </row>
    <row r="11" spans="1:9" ht="14.25" customHeight="1" x14ac:dyDescent="0.25">
      <c r="A11" s="2" t="s">
        <v>46</v>
      </c>
      <c r="B11" s="2" t="s">
        <v>47</v>
      </c>
      <c r="C11" s="2" t="s">
        <v>48</v>
      </c>
      <c r="D11" s="2" t="s">
        <v>49</v>
      </c>
      <c r="E11" s="2" t="str">
        <f t="shared" si="0"/>
        <v>VR</v>
      </c>
      <c r="F11" s="2">
        <f t="shared" si="1"/>
        <v>1</v>
      </c>
      <c r="G11" s="2">
        <f t="shared" si="2"/>
        <v>1</v>
      </c>
      <c r="H11" s="2">
        <f t="shared" si="3"/>
        <v>0</v>
      </c>
      <c r="I11" s="3" t="s">
        <v>25</v>
      </c>
    </row>
    <row r="12" spans="1:9" ht="14.25" customHeight="1" x14ac:dyDescent="0.25">
      <c r="A12" s="2" t="s">
        <v>50</v>
      </c>
      <c r="B12" s="2" t="s">
        <v>51</v>
      </c>
      <c r="C12" s="2" t="s">
        <v>52</v>
      </c>
      <c r="D12" s="2" t="s">
        <v>12</v>
      </c>
      <c r="E12" s="2" t="str">
        <f t="shared" si="0"/>
        <v>VR</v>
      </c>
      <c r="F12" s="2">
        <f t="shared" si="1"/>
        <v>1</v>
      </c>
      <c r="G12" s="2">
        <f t="shared" si="2"/>
        <v>1</v>
      </c>
      <c r="H12" s="2">
        <f t="shared" si="3"/>
        <v>0</v>
      </c>
      <c r="I12" s="2" t="s">
        <v>53</v>
      </c>
    </row>
    <row r="13" spans="1:9" ht="14.25" customHeight="1" x14ac:dyDescent="0.25">
      <c r="A13" s="2" t="s">
        <v>54</v>
      </c>
      <c r="B13" s="2" t="s">
        <v>55</v>
      </c>
      <c r="C13" s="2" t="s">
        <v>56</v>
      </c>
      <c r="D13" s="2" t="s">
        <v>57</v>
      </c>
      <c r="E13" s="2" t="str">
        <f t="shared" si="0"/>
        <v>VR</v>
      </c>
      <c r="F13" s="2">
        <f t="shared" si="1"/>
        <v>1</v>
      </c>
      <c r="G13" s="2">
        <f t="shared" si="2"/>
        <v>1</v>
      </c>
      <c r="H13" s="2">
        <f t="shared" si="3"/>
        <v>1</v>
      </c>
      <c r="I13" s="2"/>
    </row>
    <row r="14" spans="1:9" ht="14.25" customHeight="1" x14ac:dyDescent="0.25">
      <c r="A14" s="2" t="s">
        <v>58</v>
      </c>
      <c r="B14" s="2" t="s">
        <v>59</v>
      </c>
      <c r="C14" s="2" t="s">
        <v>60</v>
      </c>
      <c r="D14" s="2" t="s">
        <v>17</v>
      </c>
      <c r="E14" s="2" t="str">
        <f t="shared" si="0"/>
        <v>AR</v>
      </c>
      <c r="F14" s="2">
        <f t="shared" si="1"/>
        <v>1</v>
      </c>
      <c r="G14" s="2">
        <f t="shared" si="2"/>
        <v>1</v>
      </c>
      <c r="H14" s="2">
        <f t="shared" si="3"/>
        <v>0</v>
      </c>
      <c r="I14" s="2" t="s">
        <v>53</v>
      </c>
    </row>
    <row r="15" spans="1:9" ht="14.25" customHeight="1" x14ac:dyDescent="0.25">
      <c r="A15" s="2" t="s">
        <v>61</v>
      </c>
      <c r="B15" s="2" t="s">
        <v>62</v>
      </c>
      <c r="C15" s="2" t="s">
        <v>63</v>
      </c>
      <c r="D15" s="2" t="s">
        <v>64</v>
      </c>
      <c r="E15" s="2" t="str">
        <f t="shared" si="0"/>
        <v>AR</v>
      </c>
      <c r="F15" s="2">
        <f t="shared" si="1"/>
        <v>1</v>
      </c>
      <c r="G15" s="2">
        <f t="shared" si="2"/>
        <v>1</v>
      </c>
      <c r="H15" s="2">
        <f t="shared" si="3"/>
        <v>0</v>
      </c>
      <c r="I15" s="2"/>
    </row>
    <row r="16" spans="1:9" ht="14.25" customHeight="1" x14ac:dyDescent="0.25">
      <c r="A16" s="2" t="s">
        <v>65</v>
      </c>
      <c r="B16" s="2" t="s">
        <v>66</v>
      </c>
      <c r="C16" s="2" t="s">
        <v>67</v>
      </c>
      <c r="D16" s="2" t="s">
        <v>12</v>
      </c>
      <c r="E16" s="2" t="str">
        <f t="shared" si="0"/>
        <v>VR</v>
      </c>
      <c r="F16" s="2">
        <f t="shared" si="1"/>
        <v>1</v>
      </c>
      <c r="G16" s="2">
        <f t="shared" si="2"/>
        <v>1</v>
      </c>
      <c r="H16" s="2">
        <f t="shared" si="3"/>
        <v>0</v>
      </c>
      <c r="I16" s="3" t="s">
        <v>18</v>
      </c>
    </row>
    <row r="17" spans="1:9" ht="14.25" customHeight="1" x14ac:dyDescent="0.25">
      <c r="A17" s="2" t="s">
        <v>68</v>
      </c>
      <c r="B17" s="2" t="s">
        <v>69</v>
      </c>
      <c r="C17" s="2" t="s">
        <v>70</v>
      </c>
      <c r="D17" s="2" t="s">
        <v>12</v>
      </c>
      <c r="E17" s="2" t="str">
        <f t="shared" si="0"/>
        <v>VR</v>
      </c>
      <c r="F17" s="2">
        <f t="shared" si="1"/>
        <v>1</v>
      </c>
      <c r="G17" s="2">
        <f t="shared" si="2"/>
        <v>1</v>
      </c>
      <c r="H17" s="2">
        <f t="shared" si="3"/>
        <v>0</v>
      </c>
      <c r="I17" s="2" t="s">
        <v>71</v>
      </c>
    </row>
    <row r="18" spans="1:9" ht="14.25" customHeight="1" x14ac:dyDescent="0.25">
      <c r="A18" s="4" t="s">
        <v>72</v>
      </c>
      <c r="B18" s="4" t="s">
        <v>73</v>
      </c>
      <c r="C18" s="4" t="s">
        <v>74</v>
      </c>
      <c r="D18" s="4" t="s">
        <v>75</v>
      </c>
      <c r="E18" s="2" t="str">
        <f t="shared" si="0"/>
        <v>VR</v>
      </c>
      <c r="F18" s="2">
        <f t="shared" si="1"/>
        <v>1</v>
      </c>
      <c r="G18" s="2">
        <f t="shared" si="2"/>
        <v>1</v>
      </c>
      <c r="H18" s="2">
        <f t="shared" si="3"/>
        <v>0</v>
      </c>
      <c r="I18" s="2"/>
    </row>
    <row r="19" spans="1:9" ht="14.25" customHeight="1" x14ac:dyDescent="0.25">
      <c r="A19" s="4" t="s">
        <v>76</v>
      </c>
      <c r="B19" s="4" t="s">
        <v>77</v>
      </c>
      <c r="C19" s="4" t="s">
        <v>78</v>
      </c>
      <c r="D19" s="2" t="s">
        <v>49</v>
      </c>
      <c r="E19" s="2" t="str">
        <f t="shared" si="0"/>
        <v>VR</v>
      </c>
      <c r="F19" s="2">
        <f t="shared" si="1"/>
        <v>1</v>
      </c>
      <c r="G19" s="2">
        <f t="shared" si="2"/>
        <v>1</v>
      </c>
      <c r="H19" s="2">
        <f t="shared" si="3"/>
        <v>0</v>
      </c>
      <c r="I19" s="2"/>
    </row>
    <row r="20" spans="1:9" ht="14.25" customHeight="1" x14ac:dyDescent="0.25">
      <c r="A20" s="2" t="s">
        <v>79</v>
      </c>
      <c r="B20" s="2" t="s">
        <v>80</v>
      </c>
      <c r="C20" s="2" t="s">
        <v>81</v>
      </c>
      <c r="D20" s="2" t="s">
        <v>82</v>
      </c>
      <c r="E20" s="2" t="str">
        <f t="shared" si="0"/>
        <v>VR</v>
      </c>
      <c r="F20" s="2">
        <f t="shared" si="1"/>
        <v>1</v>
      </c>
      <c r="G20" s="2">
        <f t="shared" si="2"/>
        <v>1</v>
      </c>
      <c r="H20" s="2">
        <f t="shared" si="3"/>
        <v>0</v>
      </c>
      <c r="I20" s="2"/>
    </row>
    <row r="21" spans="1:9" ht="14.25" customHeight="1" x14ac:dyDescent="0.25">
      <c r="A21" s="4" t="s">
        <v>83</v>
      </c>
      <c r="B21" s="4" t="s">
        <v>84</v>
      </c>
      <c r="C21" s="4" t="s">
        <v>85</v>
      </c>
      <c r="D21" s="4" t="s">
        <v>86</v>
      </c>
      <c r="E21" s="2" t="str">
        <f t="shared" si="0"/>
        <v>VR</v>
      </c>
      <c r="F21" s="2">
        <f t="shared" si="1"/>
        <v>1</v>
      </c>
      <c r="G21" s="2">
        <f t="shared" si="2"/>
        <v>1</v>
      </c>
      <c r="H21" s="2">
        <f t="shared" si="3"/>
        <v>0</v>
      </c>
      <c r="I21" s="2"/>
    </row>
    <row r="22" spans="1:9" ht="14.25" customHeight="1" x14ac:dyDescent="0.25">
      <c r="A22" s="2" t="s">
        <v>87</v>
      </c>
      <c r="B22" s="2" t="s">
        <v>88</v>
      </c>
      <c r="C22" s="2" t="s">
        <v>89</v>
      </c>
      <c r="D22" s="2" t="s">
        <v>29</v>
      </c>
      <c r="E22" s="2" t="str">
        <f t="shared" si="0"/>
        <v>VR</v>
      </c>
      <c r="F22" s="2">
        <f t="shared" si="1"/>
        <v>1</v>
      </c>
      <c r="G22" s="2">
        <f t="shared" si="2"/>
        <v>1</v>
      </c>
      <c r="H22" s="2">
        <f t="shared" si="3"/>
        <v>0</v>
      </c>
      <c r="I22" s="2"/>
    </row>
    <row r="23" spans="1:9" ht="14.25" customHeight="1" x14ac:dyDescent="0.25">
      <c r="A23" s="2" t="s">
        <v>90</v>
      </c>
      <c r="B23" s="2" t="s">
        <v>91</v>
      </c>
      <c r="C23" s="2" t="s">
        <v>92</v>
      </c>
      <c r="D23" s="2" t="s">
        <v>82</v>
      </c>
      <c r="E23" s="2" t="str">
        <f t="shared" si="0"/>
        <v>VR</v>
      </c>
      <c r="F23" s="2">
        <f t="shared" si="1"/>
        <v>1</v>
      </c>
      <c r="G23" s="2">
        <f t="shared" si="2"/>
        <v>1</v>
      </c>
      <c r="H23" s="2">
        <f t="shared" si="3"/>
        <v>0</v>
      </c>
      <c r="I23" s="2" t="s">
        <v>13</v>
      </c>
    </row>
    <row r="24" spans="1:9" ht="14.25" customHeight="1" x14ac:dyDescent="0.25">
      <c r="A24" s="2" t="s">
        <v>93</v>
      </c>
      <c r="B24" s="2" t="s">
        <v>94</v>
      </c>
      <c r="C24" s="2" t="s">
        <v>95</v>
      </c>
      <c r="D24" s="2" t="s">
        <v>96</v>
      </c>
      <c r="E24" s="2" t="str">
        <f t="shared" si="0"/>
        <v>AR</v>
      </c>
      <c r="F24" s="2">
        <f t="shared" si="1"/>
        <v>1</v>
      </c>
      <c r="G24" s="2">
        <f t="shared" si="2"/>
        <v>1</v>
      </c>
      <c r="H24" s="2">
        <f t="shared" si="3"/>
        <v>1</v>
      </c>
      <c r="I24" s="2" t="s">
        <v>71</v>
      </c>
    </row>
    <row r="25" spans="1:9" ht="14.25" customHeight="1" x14ac:dyDescent="0.25">
      <c r="A25" s="4" t="s">
        <v>97</v>
      </c>
      <c r="B25" s="4" t="s">
        <v>98</v>
      </c>
      <c r="C25" s="4" t="s">
        <v>99</v>
      </c>
      <c r="D25" s="4" t="s">
        <v>75</v>
      </c>
      <c r="E25" s="2" t="str">
        <f t="shared" si="0"/>
        <v>VR</v>
      </c>
      <c r="F25" s="2">
        <f t="shared" si="1"/>
        <v>1</v>
      </c>
      <c r="G25" s="2">
        <f t="shared" si="2"/>
        <v>1</v>
      </c>
      <c r="H25" s="2">
        <f t="shared" si="3"/>
        <v>0</v>
      </c>
      <c r="I25" s="2"/>
    </row>
    <row r="26" spans="1:9" ht="14.25" customHeight="1" x14ac:dyDescent="0.25">
      <c r="A26" s="4" t="s">
        <v>100</v>
      </c>
      <c r="B26" s="4" t="s">
        <v>101</v>
      </c>
      <c r="C26" s="4" t="s">
        <v>102</v>
      </c>
      <c r="D26" s="4" t="s">
        <v>103</v>
      </c>
      <c r="E26" s="2" t="str">
        <f t="shared" si="0"/>
        <v>AR</v>
      </c>
      <c r="F26" s="2">
        <f t="shared" si="1"/>
        <v>1</v>
      </c>
      <c r="G26" s="2">
        <f t="shared" si="2"/>
        <v>1</v>
      </c>
      <c r="H26" s="2">
        <f t="shared" si="3"/>
        <v>0</v>
      </c>
      <c r="I26" s="2"/>
    </row>
    <row r="27" spans="1:9" ht="14.25" customHeight="1" x14ac:dyDescent="0.25">
      <c r="A27" s="2" t="s">
        <v>104</v>
      </c>
      <c r="B27" s="2" t="s">
        <v>105</v>
      </c>
      <c r="C27" s="2" t="s">
        <v>106</v>
      </c>
      <c r="D27" s="2" t="s">
        <v>17</v>
      </c>
      <c r="E27" s="2" t="str">
        <f t="shared" si="0"/>
        <v>AR</v>
      </c>
      <c r="F27" s="2">
        <f t="shared" si="1"/>
        <v>1</v>
      </c>
      <c r="G27" s="2">
        <f t="shared" si="2"/>
        <v>1</v>
      </c>
      <c r="H27" s="2">
        <f t="shared" si="3"/>
        <v>0</v>
      </c>
      <c r="I27" s="2" t="s">
        <v>18</v>
      </c>
    </row>
    <row r="28" spans="1:9" ht="14.25" customHeight="1" x14ac:dyDescent="0.25">
      <c r="A28" s="4" t="s">
        <v>107</v>
      </c>
      <c r="B28" s="4" t="s">
        <v>108</v>
      </c>
      <c r="C28" s="4" t="s">
        <v>109</v>
      </c>
      <c r="D28" s="2" t="s">
        <v>49</v>
      </c>
      <c r="E28" s="2" t="str">
        <f t="shared" si="0"/>
        <v>VR</v>
      </c>
      <c r="F28" s="2">
        <f t="shared" si="1"/>
        <v>1</v>
      </c>
      <c r="G28" s="2">
        <f t="shared" si="2"/>
        <v>1</v>
      </c>
      <c r="H28" s="2">
        <f t="shared" si="3"/>
        <v>0</v>
      </c>
      <c r="I28" s="2"/>
    </row>
    <row r="29" spans="1:9" ht="14.25" customHeight="1" x14ac:dyDescent="0.25">
      <c r="A29" s="2" t="s">
        <v>110</v>
      </c>
      <c r="B29" s="2" t="s">
        <v>111</v>
      </c>
      <c r="C29" s="2" t="s">
        <v>112</v>
      </c>
      <c r="D29" s="2" t="s">
        <v>113</v>
      </c>
      <c r="E29" s="2" t="str">
        <f t="shared" si="0"/>
        <v>VR</v>
      </c>
      <c r="F29" s="2">
        <f t="shared" si="1"/>
        <v>1</v>
      </c>
      <c r="G29" s="2">
        <f t="shared" si="2"/>
        <v>1</v>
      </c>
      <c r="H29" s="2">
        <f t="shared" si="3"/>
        <v>0</v>
      </c>
      <c r="I29" s="2"/>
    </row>
    <row r="30" spans="1:9" ht="14.25" customHeight="1" x14ac:dyDescent="0.25">
      <c r="A30" s="2" t="s">
        <v>114</v>
      </c>
      <c r="B30" s="2" t="s">
        <v>115</v>
      </c>
      <c r="C30" s="2" t="s">
        <v>116</v>
      </c>
      <c r="D30" s="2" t="s">
        <v>117</v>
      </c>
      <c r="E30" s="2" t="str">
        <f t="shared" si="0"/>
        <v>AR</v>
      </c>
      <c r="F30" s="2">
        <f t="shared" si="1"/>
        <v>1</v>
      </c>
      <c r="G30" s="2">
        <f t="shared" si="2"/>
        <v>1</v>
      </c>
      <c r="H30" s="2">
        <f t="shared" si="3"/>
        <v>0</v>
      </c>
      <c r="I30" s="2" t="s">
        <v>53</v>
      </c>
    </row>
    <row r="31" spans="1:9" ht="14.25" customHeight="1" x14ac:dyDescent="0.25">
      <c r="A31" s="2" t="s">
        <v>118</v>
      </c>
      <c r="B31" s="2" t="s">
        <v>119</v>
      </c>
      <c r="C31" s="2" t="s">
        <v>120</v>
      </c>
      <c r="D31" s="2" t="s">
        <v>12</v>
      </c>
      <c r="E31" s="2" t="str">
        <f t="shared" si="0"/>
        <v>VR</v>
      </c>
      <c r="F31" s="2">
        <f t="shared" si="1"/>
        <v>1</v>
      </c>
      <c r="G31" s="2">
        <f t="shared" si="2"/>
        <v>1</v>
      </c>
      <c r="H31" s="2">
        <f t="shared" si="3"/>
        <v>0</v>
      </c>
      <c r="I31" s="2" t="s">
        <v>121</v>
      </c>
    </row>
    <row r="32" spans="1:9" ht="14.25" customHeight="1" x14ac:dyDescent="0.25">
      <c r="A32" s="2" t="s">
        <v>122</v>
      </c>
      <c r="B32" s="2" t="s">
        <v>123</v>
      </c>
      <c r="C32" s="2" t="s">
        <v>124</v>
      </c>
      <c r="D32" s="2" t="s">
        <v>117</v>
      </c>
      <c r="E32" s="2" t="str">
        <f t="shared" si="0"/>
        <v>AR</v>
      </c>
      <c r="F32" s="2">
        <f t="shared" si="1"/>
        <v>1</v>
      </c>
      <c r="G32" s="2">
        <f t="shared" si="2"/>
        <v>1</v>
      </c>
      <c r="H32" s="2">
        <f t="shared" si="3"/>
        <v>0</v>
      </c>
      <c r="I32" s="2"/>
    </row>
    <row r="33" spans="1:9" ht="14.25" customHeight="1" x14ac:dyDescent="0.25">
      <c r="A33" s="4" t="s">
        <v>125</v>
      </c>
      <c r="B33" s="4" t="s">
        <v>126</v>
      </c>
      <c r="C33" s="4" t="s">
        <v>127</v>
      </c>
      <c r="D33" s="4" t="s">
        <v>86</v>
      </c>
      <c r="E33" s="2" t="str">
        <f t="shared" si="0"/>
        <v>VR</v>
      </c>
      <c r="F33" s="2">
        <f t="shared" si="1"/>
        <v>1</v>
      </c>
      <c r="G33" s="2">
        <f t="shared" si="2"/>
        <v>1</v>
      </c>
      <c r="H33" s="2">
        <f t="shared" si="3"/>
        <v>0</v>
      </c>
      <c r="I33" s="2"/>
    </row>
    <row r="34" spans="1:9" ht="14.25" customHeight="1" x14ac:dyDescent="0.25">
      <c r="A34" s="4" t="s">
        <v>128</v>
      </c>
      <c r="B34" s="4" t="s">
        <v>129</v>
      </c>
      <c r="C34" s="4" t="s">
        <v>130</v>
      </c>
      <c r="D34" s="4" t="s">
        <v>103</v>
      </c>
      <c r="E34" s="2" t="str">
        <f t="shared" si="0"/>
        <v>AR</v>
      </c>
      <c r="F34" s="2">
        <f t="shared" si="1"/>
        <v>1</v>
      </c>
      <c r="G34" s="2">
        <f t="shared" si="2"/>
        <v>1</v>
      </c>
      <c r="H34" s="2">
        <f t="shared" si="3"/>
        <v>0</v>
      </c>
      <c r="I34" s="2"/>
    </row>
    <row r="35" spans="1:9" ht="14.25" customHeight="1" x14ac:dyDescent="0.25">
      <c r="A35" s="4" t="s">
        <v>131</v>
      </c>
      <c r="B35" s="4" t="s">
        <v>132</v>
      </c>
      <c r="C35" s="4" t="s">
        <v>133</v>
      </c>
      <c r="D35" s="2" t="s">
        <v>134</v>
      </c>
      <c r="E35" s="2" t="str">
        <f t="shared" si="0"/>
        <v>AR</v>
      </c>
      <c r="F35" s="2">
        <f t="shared" si="1"/>
        <v>1</v>
      </c>
      <c r="G35" s="2">
        <f t="shared" si="2"/>
        <v>1</v>
      </c>
      <c r="H35" s="2">
        <f t="shared" si="3"/>
        <v>0</v>
      </c>
      <c r="I35" s="2"/>
    </row>
    <row r="36" spans="1:9" ht="14.25" customHeight="1" x14ac:dyDescent="0.25">
      <c r="A36" s="4" t="s">
        <v>135</v>
      </c>
      <c r="B36" s="4" t="s">
        <v>136</v>
      </c>
      <c r="C36" s="4" t="s">
        <v>137</v>
      </c>
      <c r="D36" s="4" t="s">
        <v>86</v>
      </c>
      <c r="E36" s="2" t="str">
        <f t="shared" si="0"/>
        <v>VR</v>
      </c>
      <c r="F36" s="2">
        <f t="shared" si="1"/>
        <v>1</v>
      </c>
      <c r="G36" s="2">
        <f t="shared" si="2"/>
        <v>1</v>
      </c>
      <c r="H36" s="2">
        <f t="shared" si="3"/>
        <v>0</v>
      </c>
      <c r="I36" s="2" t="s">
        <v>18</v>
      </c>
    </row>
    <row r="37" spans="1:9" ht="14.25" customHeight="1" x14ac:dyDescent="0.25">
      <c r="A37" s="2" t="s">
        <v>138</v>
      </c>
      <c r="B37" s="2" t="s">
        <v>139</v>
      </c>
      <c r="C37" s="2" t="s">
        <v>140</v>
      </c>
      <c r="D37" s="2" t="s">
        <v>49</v>
      </c>
      <c r="E37" s="2" t="str">
        <f t="shared" si="0"/>
        <v>VR</v>
      </c>
      <c r="F37" s="2">
        <f t="shared" si="1"/>
        <v>1</v>
      </c>
      <c r="G37" s="2">
        <f t="shared" si="2"/>
        <v>1</v>
      </c>
      <c r="H37" s="2">
        <f t="shared" si="3"/>
        <v>0</v>
      </c>
      <c r="I37" s="2" t="s">
        <v>141</v>
      </c>
    </row>
    <row r="38" spans="1:9" ht="14.25" customHeight="1" x14ac:dyDescent="0.25">
      <c r="A38" s="4" t="s">
        <v>142</v>
      </c>
      <c r="B38" s="4" t="s">
        <v>143</v>
      </c>
      <c r="C38" s="4" t="s">
        <v>144</v>
      </c>
      <c r="D38" s="2" t="s">
        <v>145</v>
      </c>
      <c r="E38" s="2" t="str">
        <f t="shared" si="0"/>
        <v>VR</v>
      </c>
      <c r="F38" s="2">
        <f t="shared" si="1"/>
        <v>1</v>
      </c>
      <c r="G38" s="2">
        <f t="shared" si="2"/>
        <v>1</v>
      </c>
      <c r="H38" s="2">
        <f t="shared" si="3"/>
        <v>0</v>
      </c>
      <c r="I38" s="2"/>
    </row>
    <row r="39" spans="1:9" ht="14.25" customHeight="1" x14ac:dyDescent="0.25">
      <c r="A39" s="2" t="s">
        <v>146</v>
      </c>
      <c r="B39" s="2" t="s">
        <v>147</v>
      </c>
      <c r="C39" s="2" t="s">
        <v>148</v>
      </c>
      <c r="D39" s="2" t="s">
        <v>149</v>
      </c>
      <c r="E39" s="2" t="str">
        <f t="shared" si="0"/>
        <v>AR</v>
      </c>
      <c r="F39" s="2">
        <f t="shared" si="1"/>
        <v>1</v>
      </c>
      <c r="G39" s="2">
        <f t="shared" si="2"/>
        <v>1</v>
      </c>
      <c r="H39" s="2">
        <f t="shared" si="3"/>
        <v>0</v>
      </c>
      <c r="I39" s="2" t="s">
        <v>25</v>
      </c>
    </row>
    <row r="40" spans="1:9" ht="14.25" customHeight="1" x14ac:dyDescent="0.25">
      <c r="A40" s="2" t="s">
        <v>150</v>
      </c>
      <c r="B40" s="2" t="s">
        <v>151</v>
      </c>
      <c r="C40" s="2" t="s">
        <v>152</v>
      </c>
      <c r="D40" s="2" t="s">
        <v>149</v>
      </c>
      <c r="E40" s="2" t="str">
        <f t="shared" si="0"/>
        <v>AR</v>
      </c>
      <c r="F40" s="2">
        <f t="shared" si="1"/>
        <v>1</v>
      </c>
      <c r="G40" s="2">
        <f t="shared" si="2"/>
        <v>1</v>
      </c>
      <c r="H40" s="2">
        <f t="shared" si="3"/>
        <v>0</v>
      </c>
      <c r="I40" s="5" t="s">
        <v>25</v>
      </c>
    </row>
    <row r="41" spans="1:9" ht="14.25" customHeight="1" x14ac:dyDescent="0.25">
      <c r="A41" s="4" t="s">
        <v>153</v>
      </c>
      <c r="B41" s="4" t="s">
        <v>154</v>
      </c>
      <c r="C41" s="4" t="s">
        <v>155</v>
      </c>
      <c r="D41" s="4" t="s">
        <v>86</v>
      </c>
      <c r="E41" s="2" t="str">
        <f t="shared" si="0"/>
        <v>VR</v>
      </c>
      <c r="F41" s="2">
        <f t="shared" si="1"/>
        <v>1</v>
      </c>
      <c r="G41" s="2">
        <f t="shared" si="2"/>
        <v>1</v>
      </c>
      <c r="H41" s="2">
        <f t="shared" si="3"/>
        <v>0</v>
      </c>
      <c r="I41" s="2"/>
    </row>
    <row r="42" spans="1:9" ht="14.25" customHeight="1" x14ac:dyDescent="0.25">
      <c r="A42" s="2" t="s">
        <v>156</v>
      </c>
      <c r="B42" s="2" t="s">
        <v>157</v>
      </c>
      <c r="C42" s="2" t="s">
        <v>158</v>
      </c>
      <c r="D42" s="2" t="s">
        <v>159</v>
      </c>
      <c r="E42" s="2" t="str">
        <f t="shared" si="0"/>
        <v>VR, AR</v>
      </c>
      <c r="F42" s="2">
        <f t="shared" si="1"/>
        <v>1</v>
      </c>
      <c r="G42" s="2">
        <f t="shared" si="2"/>
        <v>1</v>
      </c>
      <c r="H42" s="2">
        <f t="shared" si="3"/>
        <v>0</v>
      </c>
      <c r="I42" s="2" t="s">
        <v>18</v>
      </c>
    </row>
    <row r="43" spans="1:9" ht="14.25" customHeight="1" x14ac:dyDescent="0.25">
      <c r="A43" s="2" t="s">
        <v>160</v>
      </c>
      <c r="B43" s="2" t="s">
        <v>161</v>
      </c>
      <c r="C43" s="2" t="s">
        <v>162</v>
      </c>
      <c r="D43" s="2" t="s">
        <v>12</v>
      </c>
      <c r="E43" s="2" t="str">
        <f t="shared" si="0"/>
        <v>VR</v>
      </c>
      <c r="F43" s="2">
        <f t="shared" si="1"/>
        <v>1</v>
      </c>
      <c r="G43" s="2">
        <f t="shared" si="2"/>
        <v>1</v>
      </c>
      <c r="H43" s="2">
        <f t="shared" si="3"/>
        <v>0</v>
      </c>
      <c r="I43" s="2" t="s">
        <v>163</v>
      </c>
    </row>
    <row r="44" spans="1:9" ht="14.25" customHeight="1" x14ac:dyDescent="0.25">
      <c r="A44" s="2" t="s">
        <v>164</v>
      </c>
      <c r="B44" s="2" t="s">
        <v>165</v>
      </c>
      <c r="C44" s="2" t="s">
        <v>166</v>
      </c>
      <c r="D44" s="2" t="s">
        <v>17</v>
      </c>
      <c r="E44" s="2" t="str">
        <f t="shared" si="0"/>
        <v>AR</v>
      </c>
      <c r="F44" s="2">
        <f t="shared" si="1"/>
        <v>1</v>
      </c>
      <c r="G44" s="2">
        <f t="shared" si="2"/>
        <v>1</v>
      </c>
      <c r="H44" s="2">
        <f t="shared" si="3"/>
        <v>0</v>
      </c>
      <c r="I44" s="2" t="s">
        <v>18</v>
      </c>
    </row>
    <row r="45" spans="1:9" ht="14.25" customHeight="1" x14ac:dyDescent="0.25">
      <c r="A45" s="2" t="s">
        <v>167</v>
      </c>
      <c r="B45" s="2" t="s">
        <v>168</v>
      </c>
      <c r="C45" s="2" t="s">
        <v>169</v>
      </c>
      <c r="D45" s="2" t="s">
        <v>17</v>
      </c>
      <c r="E45" s="2" t="str">
        <f t="shared" si="0"/>
        <v>AR</v>
      </c>
      <c r="F45" s="2">
        <f t="shared" si="1"/>
        <v>1</v>
      </c>
      <c r="G45" s="2">
        <f t="shared" si="2"/>
        <v>1</v>
      </c>
      <c r="H45" s="2">
        <f t="shared" si="3"/>
        <v>0</v>
      </c>
      <c r="I45" s="2" t="s">
        <v>25</v>
      </c>
    </row>
    <row r="46" spans="1:9" ht="14.25" customHeight="1" x14ac:dyDescent="0.25">
      <c r="A46" s="2" t="s">
        <v>170</v>
      </c>
      <c r="B46" s="2" t="s">
        <v>171</v>
      </c>
      <c r="C46" s="2" t="s">
        <v>172</v>
      </c>
      <c r="D46" s="2" t="s">
        <v>12</v>
      </c>
      <c r="E46" s="2" t="str">
        <f t="shared" si="0"/>
        <v>VR</v>
      </c>
      <c r="F46" s="2">
        <f t="shared" si="1"/>
        <v>1</v>
      </c>
      <c r="G46" s="2">
        <f t="shared" si="2"/>
        <v>1</v>
      </c>
      <c r="H46" s="2">
        <f t="shared" si="3"/>
        <v>0</v>
      </c>
      <c r="I46" s="2"/>
    </row>
    <row r="47" spans="1:9" ht="14.25" customHeight="1" x14ac:dyDescent="0.25">
      <c r="A47" s="2" t="s">
        <v>173</v>
      </c>
      <c r="B47" s="2" t="s">
        <v>174</v>
      </c>
      <c r="C47" s="2" t="s">
        <v>175</v>
      </c>
      <c r="D47" s="2" t="s">
        <v>176</v>
      </c>
      <c r="E47" s="2" t="str">
        <f t="shared" si="0"/>
        <v>VR</v>
      </c>
      <c r="F47" s="2">
        <f t="shared" si="1"/>
        <v>1</v>
      </c>
      <c r="G47" s="2">
        <f t="shared" si="2"/>
        <v>1</v>
      </c>
      <c r="H47" s="2">
        <f t="shared" si="3"/>
        <v>0</v>
      </c>
      <c r="I47" s="2" t="s">
        <v>177</v>
      </c>
    </row>
    <row r="48" spans="1:9" ht="14.25" customHeight="1" x14ac:dyDescent="0.25">
      <c r="A48" s="2" t="s">
        <v>178</v>
      </c>
      <c r="B48" s="2" t="s">
        <v>179</v>
      </c>
      <c r="C48" s="2" t="s">
        <v>180</v>
      </c>
      <c r="D48" s="2" t="s">
        <v>12</v>
      </c>
      <c r="E48" s="2" t="str">
        <f t="shared" si="0"/>
        <v>VR</v>
      </c>
      <c r="F48" s="2">
        <f t="shared" si="1"/>
        <v>1</v>
      </c>
      <c r="G48" s="2">
        <f t="shared" si="2"/>
        <v>1</v>
      </c>
      <c r="H48" s="2">
        <f t="shared" si="3"/>
        <v>0</v>
      </c>
      <c r="I48" s="3" t="s">
        <v>25</v>
      </c>
    </row>
    <row r="49" spans="1:9" ht="14.25" customHeight="1" x14ac:dyDescent="0.25">
      <c r="A49" s="2" t="s">
        <v>181</v>
      </c>
      <c r="B49" s="2" t="s">
        <v>182</v>
      </c>
      <c r="C49" s="2" t="s">
        <v>183</v>
      </c>
      <c r="D49" s="2" t="s">
        <v>184</v>
      </c>
      <c r="E49" s="2" t="str">
        <f t="shared" si="0"/>
        <v>VR</v>
      </c>
      <c r="F49" s="2">
        <f t="shared" si="1"/>
        <v>1</v>
      </c>
      <c r="G49" s="2">
        <f t="shared" si="2"/>
        <v>1</v>
      </c>
      <c r="H49" s="2">
        <f t="shared" si="3"/>
        <v>1</v>
      </c>
      <c r="I49" s="2" t="s">
        <v>185</v>
      </c>
    </row>
    <row r="50" spans="1:9" ht="14.25" customHeight="1" x14ac:dyDescent="0.25">
      <c r="A50" s="2" t="s">
        <v>186</v>
      </c>
      <c r="B50" s="2" t="s">
        <v>187</v>
      </c>
      <c r="C50" s="2" t="s">
        <v>188</v>
      </c>
      <c r="D50" s="2" t="s">
        <v>12</v>
      </c>
      <c r="E50" s="2" t="str">
        <f t="shared" si="0"/>
        <v>VR</v>
      </c>
      <c r="F50" s="2">
        <f t="shared" si="1"/>
        <v>1</v>
      </c>
      <c r="G50" s="2">
        <f t="shared" si="2"/>
        <v>1</v>
      </c>
      <c r="H50" s="2">
        <f t="shared" si="3"/>
        <v>0</v>
      </c>
      <c r="I50" s="2"/>
    </row>
    <row r="51" spans="1:9" ht="14.25" customHeight="1" x14ac:dyDescent="0.25">
      <c r="A51" s="2" t="s">
        <v>189</v>
      </c>
      <c r="B51" s="2" t="s">
        <v>411</v>
      </c>
      <c r="C51" s="2" t="s">
        <v>190</v>
      </c>
      <c r="D51" s="2" t="s">
        <v>12</v>
      </c>
      <c r="E51" s="2" t="str">
        <f t="shared" si="0"/>
        <v>VR</v>
      </c>
      <c r="F51" s="2">
        <f t="shared" si="1"/>
        <v>1</v>
      </c>
      <c r="G51" s="2">
        <f t="shared" si="2"/>
        <v>1</v>
      </c>
      <c r="H51" s="2">
        <f t="shared" si="3"/>
        <v>0</v>
      </c>
      <c r="I51" s="2"/>
    </row>
    <row r="52" spans="1:9" ht="14.25" customHeight="1" x14ac:dyDescent="0.25">
      <c r="A52" s="2" t="s">
        <v>191</v>
      </c>
      <c r="B52" s="2" t="s">
        <v>192</v>
      </c>
      <c r="C52" s="2" t="s">
        <v>193</v>
      </c>
      <c r="D52" s="2" t="s">
        <v>194</v>
      </c>
      <c r="E52" s="2" t="str">
        <f t="shared" si="0"/>
        <v>VR, AR</v>
      </c>
      <c r="F52" s="2">
        <f t="shared" si="1"/>
        <v>1</v>
      </c>
      <c r="G52" s="2">
        <f t="shared" si="2"/>
        <v>1</v>
      </c>
      <c r="H52" s="2">
        <f t="shared" si="3"/>
        <v>0</v>
      </c>
      <c r="I52" s="2" t="s">
        <v>18</v>
      </c>
    </row>
    <row r="53" spans="1:9" ht="14.25" customHeight="1" x14ac:dyDescent="0.25">
      <c r="A53" s="4" t="s">
        <v>195</v>
      </c>
      <c r="B53" s="4" t="s">
        <v>196</v>
      </c>
      <c r="C53" s="4" t="s">
        <v>197</v>
      </c>
      <c r="D53" s="2" t="s">
        <v>82</v>
      </c>
      <c r="E53" s="2" t="str">
        <f t="shared" si="0"/>
        <v>VR</v>
      </c>
      <c r="F53" s="2">
        <f t="shared" si="1"/>
        <v>1</v>
      </c>
      <c r="G53" s="2">
        <f t="shared" si="2"/>
        <v>1</v>
      </c>
      <c r="H53" s="2">
        <f t="shared" si="3"/>
        <v>0</v>
      </c>
      <c r="I53" s="2"/>
    </row>
    <row r="54" spans="1:9" ht="14.25" customHeight="1" x14ac:dyDescent="0.25">
      <c r="A54" s="2" t="s">
        <v>198</v>
      </c>
      <c r="B54" s="2" t="s">
        <v>199</v>
      </c>
      <c r="C54" s="2" t="s">
        <v>200</v>
      </c>
      <c r="D54" s="2" t="s">
        <v>201</v>
      </c>
      <c r="E54" s="2" t="str">
        <f t="shared" si="0"/>
        <v>AR, MR</v>
      </c>
      <c r="F54" s="2">
        <f t="shared" si="1"/>
        <v>1</v>
      </c>
      <c r="G54" s="2">
        <f t="shared" si="2"/>
        <v>1</v>
      </c>
      <c r="H54" s="2">
        <f t="shared" si="3"/>
        <v>0</v>
      </c>
      <c r="I54" s="2" t="s">
        <v>13</v>
      </c>
    </row>
    <row r="55" spans="1:9" ht="14.25" customHeight="1" x14ac:dyDescent="0.25">
      <c r="A55" s="4" t="s">
        <v>202</v>
      </c>
      <c r="B55" s="4" t="s">
        <v>203</v>
      </c>
      <c r="C55" s="4" t="s">
        <v>204</v>
      </c>
      <c r="D55" s="2" t="s">
        <v>49</v>
      </c>
      <c r="E55" s="2" t="str">
        <f t="shared" si="0"/>
        <v>VR</v>
      </c>
      <c r="F55" s="2">
        <f t="shared" si="1"/>
        <v>1</v>
      </c>
      <c r="G55" s="2">
        <f t="shared" si="2"/>
        <v>1</v>
      </c>
      <c r="H55" s="2">
        <f t="shared" si="3"/>
        <v>0</v>
      </c>
      <c r="I55" s="2"/>
    </row>
    <row r="56" spans="1:9" ht="14.25" customHeight="1" x14ac:dyDescent="0.25">
      <c r="A56" s="2" t="s">
        <v>205</v>
      </c>
      <c r="B56" s="2" t="s">
        <v>412</v>
      </c>
      <c r="C56" s="2" t="s">
        <v>206</v>
      </c>
      <c r="D56" s="2" t="s">
        <v>207</v>
      </c>
      <c r="E56" s="2" t="str">
        <f t="shared" si="0"/>
        <v>VR</v>
      </c>
      <c r="F56" s="2">
        <f t="shared" si="1"/>
        <v>1</v>
      </c>
      <c r="G56" s="2">
        <f t="shared" si="2"/>
        <v>1</v>
      </c>
      <c r="H56" s="2">
        <f t="shared" si="3"/>
        <v>1</v>
      </c>
      <c r="I56" s="2" t="s">
        <v>208</v>
      </c>
    </row>
    <row r="57" spans="1:9" ht="14.25" customHeight="1" x14ac:dyDescent="0.25">
      <c r="A57" s="2" t="s">
        <v>209</v>
      </c>
      <c r="B57" s="2" t="s">
        <v>413</v>
      </c>
      <c r="C57" s="2" t="s">
        <v>210</v>
      </c>
      <c r="D57" s="2" t="s">
        <v>12</v>
      </c>
      <c r="E57" s="2" t="str">
        <f t="shared" si="0"/>
        <v>VR</v>
      </c>
      <c r="F57" s="2">
        <f t="shared" si="1"/>
        <v>1</v>
      </c>
      <c r="G57" s="2">
        <f t="shared" si="2"/>
        <v>1</v>
      </c>
      <c r="H57" s="2">
        <f t="shared" si="3"/>
        <v>0</v>
      </c>
      <c r="I57" s="2"/>
    </row>
    <row r="58" spans="1:9" ht="14.25" customHeight="1" x14ac:dyDescent="0.25">
      <c r="A58" s="2" t="s">
        <v>211</v>
      </c>
      <c r="B58" s="2" t="s">
        <v>212</v>
      </c>
      <c r="C58" s="2" t="s">
        <v>213</v>
      </c>
      <c r="D58" s="2" t="s">
        <v>49</v>
      </c>
      <c r="E58" s="2" t="str">
        <f t="shared" si="0"/>
        <v>VR</v>
      </c>
      <c r="F58" s="2">
        <f t="shared" si="1"/>
        <v>1</v>
      </c>
      <c r="G58" s="2">
        <f t="shared" si="2"/>
        <v>1</v>
      </c>
      <c r="H58" s="2">
        <f t="shared" si="3"/>
        <v>0</v>
      </c>
      <c r="I58" s="2"/>
    </row>
    <row r="59" spans="1:9" ht="14.25" customHeight="1" x14ac:dyDescent="0.25">
      <c r="A59" s="2" t="s">
        <v>214</v>
      </c>
      <c r="B59" s="2" t="s">
        <v>410</v>
      </c>
      <c r="C59" s="2" t="s">
        <v>215</v>
      </c>
      <c r="D59" s="2" t="s">
        <v>216</v>
      </c>
      <c r="E59" s="2" t="str">
        <f t="shared" si="0"/>
        <v>VR</v>
      </c>
      <c r="F59" s="2">
        <f t="shared" si="1"/>
        <v>1</v>
      </c>
      <c r="G59" s="2">
        <f t="shared" si="2"/>
        <v>1</v>
      </c>
      <c r="H59" s="2">
        <f t="shared" si="3"/>
        <v>1</v>
      </c>
      <c r="I59" s="2" t="s">
        <v>71</v>
      </c>
    </row>
    <row r="60" spans="1:9" ht="14.25" customHeight="1" x14ac:dyDescent="0.25">
      <c r="A60" s="2" t="s">
        <v>217</v>
      </c>
      <c r="B60" s="2" t="s">
        <v>218</v>
      </c>
      <c r="C60" s="2" t="s">
        <v>219</v>
      </c>
      <c r="D60" s="2" t="s">
        <v>29</v>
      </c>
      <c r="E60" s="2" t="str">
        <f t="shared" si="0"/>
        <v>VR</v>
      </c>
      <c r="F60" s="2">
        <f t="shared" si="1"/>
        <v>1</v>
      </c>
      <c r="G60" s="2">
        <f t="shared" si="2"/>
        <v>1</v>
      </c>
      <c r="H60" s="2">
        <f t="shared" si="3"/>
        <v>0</v>
      </c>
      <c r="I60" s="2"/>
    </row>
    <row r="61" spans="1:9" ht="14.25" customHeight="1" x14ac:dyDescent="0.25">
      <c r="A61" s="2" t="s">
        <v>220</v>
      </c>
      <c r="B61" s="2" t="s">
        <v>221</v>
      </c>
      <c r="C61" s="2" t="s">
        <v>177</v>
      </c>
      <c r="D61" s="2" t="s">
        <v>29</v>
      </c>
      <c r="E61" s="2" t="str">
        <f t="shared" si="0"/>
        <v>VR</v>
      </c>
      <c r="F61" s="2">
        <f t="shared" si="1"/>
        <v>1</v>
      </c>
      <c r="G61" s="2">
        <f t="shared" si="2"/>
        <v>1</v>
      </c>
      <c r="H61" s="2">
        <f t="shared" si="3"/>
        <v>0</v>
      </c>
      <c r="I61" s="2" t="s">
        <v>177</v>
      </c>
    </row>
    <row r="62" spans="1:9" ht="14.25" customHeight="1" x14ac:dyDescent="0.25">
      <c r="A62" s="2" t="s">
        <v>222</v>
      </c>
      <c r="B62" s="2" t="s">
        <v>223</v>
      </c>
      <c r="C62" s="2" t="s">
        <v>224</v>
      </c>
      <c r="D62" s="2" t="s">
        <v>29</v>
      </c>
      <c r="E62" s="2" t="str">
        <f t="shared" si="0"/>
        <v>VR</v>
      </c>
      <c r="F62" s="2">
        <f t="shared" si="1"/>
        <v>1</v>
      </c>
      <c r="G62" s="2">
        <f t="shared" si="2"/>
        <v>1</v>
      </c>
      <c r="H62" s="2">
        <f t="shared" si="3"/>
        <v>0</v>
      </c>
      <c r="I62" s="2" t="s">
        <v>53</v>
      </c>
    </row>
    <row r="63" spans="1:9" ht="14.25" customHeight="1" x14ac:dyDescent="0.25">
      <c r="A63" s="2" t="s">
        <v>225</v>
      </c>
      <c r="B63" s="2" t="s">
        <v>226</v>
      </c>
      <c r="C63" s="2" t="s">
        <v>227</v>
      </c>
      <c r="D63" s="2" t="s">
        <v>176</v>
      </c>
      <c r="E63" s="2" t="str">
        <f t="shared" si="0"/>
        <v>VR</v>
      </c>
      <c r="F63" s="2">
        <f t="shared" si="1"/>
        <v>1</v>
      </c>
      <c r="G63" s="2">
        <f t="shared" si="2"/>
        <v>1</v>
      </c>
      <c r="H63" s="2">
        <f t="shared" si="3"/>
        <v>0</v>
      </c>
      <c r="I63" s="2" t="s">
        <v>53</v>
      </c>
    </row>
    <row r="64" spans="1:9" ht="14.25" customHeight="1" x14ac:dyDescent="0.25">
      <c r="A64" s="2" t="s">
        <v>228</v>
      </c>
      <c r="B64" s="2" t="s">
        <v>414</v>
      </c>
      <c r="C64" s="2" t="s">
        <v>229</v>
      </c>
      <c r="D64" s="2" t="s">
        <v>230</v>
      </c>
      <c r="E64" s="2" t="str">
        <f t="shared" si="0"/>
        <v>VR</v>
      </c>
      <c r="F64" s="2">
        <f t="shared" si="1"/>
        <v>1</v>
      </c>
      <c r="G64" s="2">
        <f t="shared" si="2"/>
        <v>1</v>
      </c>
      <c r="H64" s="2">
        <f t="shared" si="3"/>
        <v>1</v>
      </c>
      <c r="I64" s="2" t="s">
        <v>25</v>
      </c>
    </row>
    <row r="65" spans="1:9" ht="14.25" customHeight="1" x14ac:dyDescent="0.25">
      <c r="A65" s="4" t="s">
        <v>231</v>
      </c>
      <c r="B65" s="4" t="s">
        <v>232</v>
      </c>
      <c r="C65" s="4" t="s">
        <v>233</v>
      </c>
      <c r="D65" s="4" t="s">
        <v>234</v>
      </c>
      <c r="E65" s="2" t="str">
        <f t="shared" si="0"/>
        <v>VR</v>
      </c>
      <c r="F65" s="2">
        <f t="shared" si="1"/>
        <v>1</v>
      </c>
      <c r="G65" s="2">
        <f t="shared" si="2"/>
        <v>1</v>
      </c>
      <c r="H65" s="2">
        <f t="shared" si="3"/>
        <v>1</v>
      </c>
      <c r="I65" s="2"/>
    </row>
    <row r="66" spans="1:9" ht="14.25" customHeight="1" x14ac:dyDescent="0.25">
      <c r="A66" s="2" t="s">
        <v>235</v>
      </c>
      <c r="B66" s="2" t="s">
        <v>236</v>
      </c>
      <c r="C66" s="2" t="s">
        <v>237</v>
      </c>
      <c r="D66" s="2" t="s">
        <v>12</v>
      </c>
      <c r="E66" s="2" t="str">
        <f t="shared" si="0"/>
        <v>VR</v>
      </c>
      <c r="F66" s="2">
        <f t="shared" si="1"/>
        <v>1</v>
      </c>
      <c r="G66" s="2">
        <f t="shared" si="2"/>
        <v>1</v>
      </c>
      <c r="H66" s="2">
        <f t="shared" si="3"/>
        <v>0</v>
      </c>
      <c r="I66" s="2"/>
    </row>
    <row r="67" spans="1:9" ht="14.25" customHeight="1" x14ac:dyDescent="0.25">
      <c r="A67" s="2" t="s">
        <v>238</v>
      </c>
      <c r="B67" s="2" t="s">
        <v>239</v>
      </c>
      <c r="C67" s="2" t="s">
        <v>240</v>
      </c>
      <c r="D67" s="2" t="s">
        <v>82</v>
      </c>
      <c r="E67" s="2" t="str">
        <f t="shared" si="0"/>
        <v>VR</v>
      </c>
      <c r="F67" s="2">
        <f t="shared" si="1"/>
        <v>1</v>
      </c>
      <c r="G67" s="2">
        <f t="shared" si="2"/>
        <v>1</v>
      </c>
      <c r="H67" s="2">
        <f t="shared" si="3"/>
        <v>0</v>
      </c>
      <c r="I67" s="2" t="s">
        <v>53</v>
      </c>
    </row>
    <row r="68" spans="1:9" ht="14.25" customHeight="1" x14ac:dyDescent="0.25">
      <c r="A68" s="2" t="s">
        <v>241</v>
      </c>
      <c r="B68" s="2" t="s">
        <v>242</v>
      </c>
      <c r="C68" s="2" t="s">
        <v>243</v>
      </c>
      <c r="D68" s="2" t="s">
        <v>37</v>
      </c>
      <c r="E68" s="2" t="str">
        <f t="shared" si="0"/>
        <v>VR</v>
      </c>
      <c r="F68" s="2">
        <f t="shared" si="1"/>
        <v>1</v>
      </c>
      <c r="G68" s="2">
        <f t="shared" si="2"/>
        <v>1</v>
      </c>
      <c r="H68" s="2">
        <f t="shared" si="3"/>
        <v>0</v>
      </c>
      <c r="I68" s="2"/>
    </row>
    <row r="69" spans="1:9" ht="14.25" customHeight="1" x14ac:dyDescent="0.25">
      <c r="A69" s="4" t="s">
        <v>244</v>
      </c>
      <c r="B69" s="4" t="s">
        <v>245</v>
      </c>
      <c r="C69" s="4" t="s">
        <v>246</v>
      </c>
      <c r="D69" s="2" t="s">
        <v>247</v>
      </c>
      <c r="E69" s="2" t="str">
        <f t="shared" si="0"/>
        <v>MR</v>
      </c>
      <c r="F69" s="2">
        <f t="shared" si="1"/>
        <v>1</v>
      </c>
      <c r="G69" s="2">
        <f t="shared" si="2"/>
        <v>1</v>
      </c>
      <c r="H69" s="2">
        <f t="shared" si="3"/>
        <v>0</v>
      </c>
      <c r="I69" s="2" t="s">
        <v>248</v>
      </c>
    </row>
    <row r="70" spans="1:9" ht="14.25" customHeight="1" x14ac:dyDescent="0.25">
      <c r="A70" s="4" t="s">
        <v>249</v>
      </c>
      <c r="B70" s="4" t="s">
        <v>250</v>
      </c>
      <c r="C70" s="4" t="s">
        <v>251</v>
      </c>
      <c r="D70" s="4" t="s">
        <v>86</v>
      </c>
      <c r="E70" s="2" t="str">
        <f t="shared" si="0"/>
        <v>VR</v>
      </c>
      <c r="F70" s="2">
        <f t="shared" si="1"/>
        <v>1</v>
      </c>
      <c r="G70" s="2">
        <f t="shared" si="2"/>
        <v>1</v>
      </c>
      <c r="H70" s="2">
        <f t="shared" si="3"/>
        <v>0</v>
      </c>
      <c r="I70" s="2"/>
    </row>
    <row r="71" spans="1:9" ht="14.25" customHeight="1" x14ac:dyDescent="0.25">
      <c r="A71" s="2" t="s">
        <v>252</v>
      </c>
      <c r="B71" s="2" t="s">
        <v>253</v>
      </c>
      <c r="C71" s="2" t="s">
        <v>254</v>
      </c>
      <c r="D71" s="2" t="s">
        <v>149</v>
      </c>
      <c r="E71" s="2" t="str">
        <f t="shared" si="0"/>
        <v>AR</v>
      </c>
      <c r="F71" s="2">
        <f t="shared" si="1"/>
        <v>1</v>
      </c>
      <c r="G71" s="2">
        <f t="shared" si="2"/>
        <v>1</v>
      </c>
      <c r="H71" s="2">
        <f t="shared" si="3"/>
        <v>0</v>
      </c>
      <c r="I71" s="3" t="s">
        <v>53</v>
      </c>
    </row>
    <row r="72" spans="1:9" ht="14.25" customHeight="1" x14ac:dyDescent="0.25">
      <c r="A72" s="2" t="s">
        <v>255</v>
      </c>
      <c r="B72" s="2" t="s">
        <v>256</v>
      </c>
      <c r="C72" s="2" t="s">
        <v>257</v>
      </c>
      <c r="D72" s="2" t="s">
        <v>82</v>
      </c>
      <c r="E72" s="2" t="str">
        <f t="shared" si="0"/>
        <v>VR</v>
      </c>
      <c r="F72" s="2">
        <f t="shared" si="1"/>
        <v>1</v>
      </c>
      <c r="G72" s="2">
        <f t="shared" si="2"/>
        <v>1</v>
      </c>
      <c r="H72" s="2">
        <f t="shared" si="3"/>
        <v>0</v>
      </c>
      <c r="I72" s="2"/>
    </row>
    <row r="73" spans="1:9" ht="14.25" customHeight="1" x14ac:dyDescent="0.25">
      <c r="A73" s="2" t="s">
        <v>258</v>
      </c>
      <c r="B73" s="2" t="s">
        <v>259</v>
      </c>
      <c r="C73" s="2" t="s">
        <v>260</v>
      </c>
      <c r="D73" s="2" t="s">
        <v>261</v>
      </c>
      <c r="E73" s="2" t="str">
        <f t="shared" si="0"/>
        <v>MR</v>
      </c>
      <c r="F73" s="2">
        <f t="shared" si="1"/>
        <v>1</v>
      </c>
      <c r="G73" s="2">
        <f t="shared" si="2"/>
        <v>1</v>
      </c>
      <c r="H73" s="2">
        <f t="shared" si="3"/>
        <v>0</v>
      </c>
      <c r="I73" s="2"/>
    </row>
    <row r="74" spans="1:9" ht="14.25" customHeight="1" x14ac:dyDescent="0.25">
      <c r="A74" s="2" t="s">
        <v>262</v>
      </c>
      <c r="B74" s="2" t="s">
        <v>263</v>
      </c>
      <c r="C74" s="2" t="s">
        <v>264</v>
      </c>
      <c r="D74" s="2" t="s">
        <v>265</v>
      </c>
      <c r="E74" s="2" t="str">
        <f t="shared" si="0"/>
        <v>VR, AR</v>
      </c>
      <c r="F74" s="2">
        <f t="shared" si="1"/>
        <v>1</v>
      </c>
      <c r="G74" s="2">
        <f t="shared" si="2"/>
        <v>1</v>
      </c>
      <c r="H74" s="2">
        <f t="shared" si="3"/>
        <v>0</v>
      </c>
      <c r="I74" s="2"/>
    </row>
    <row r="75" spans="1:9" ht="14.25" customHeight="1" x14ac:dyDescent="0.25">
      <c r="A75" s="2" t="s">
        <v>266</v>
      </c>
      <c r="B75" s="2" t="s">
        <v>267</v>
      </c>
      <c r="C75" s="2" t="s">
        <v>268</v>
      </c>
      <c r="D75" s="2" t="s">
        <v>269</v>
      </c>
      <c r="E75" s="2" t="str">
        <f t="shared" si="0"/>
        <v>VR</v>
      </c>
      <c r="F75" s="2">
        <f t="shared" si="1"/>
        <v>1</v>
      </c>
      <c r="G75" s="2">
        <f t="shared" si="2"/>
        <v>1</v>
      </c>
      <c r="H75" s="2">
        <f t="shared" si="3"/>
        <v>0</v>
      </c>
      <c r="I75" s="2"/>
    </row>
    <row r="76" spans="1:9" ht="14.25" customHeight="1" x14ac:dyDescent="0.25">
      <c r="A76" s="2" t="s">
        <v>270</v>
      </c>
      <c r="B76" s="2" t="s">
        <v>271</v>
      </c>
      <c r="C76" s="2" t="s">
        <v>272</v>
      </c>
      <c r="D76" s="2" t="s">
        <v>82</v>
      </c>
      <c r="E76" s="2" t="str">
        <f t="shared" si="0"/>
        <v>VR</v>
      </c>
      <c r="F76" s="2">
        <f t="shared" si="1"/>
        <v>1</v>
      </c>
      <c r="G76" s="2">
        <f t="shared" si="2"/>
        <v>1</v>
      </c>
      <c r="H76" s="2">
        <f t="shared" si="3"/>
        <v>0</v>
      </c>
      <c r="I76" s="2" t="s">
        <v>25</v>
      </c>
    </row>
    <row r="77" spans="1:9" ht="14.25" customHeight="1" x14ac:dyDescent="0.25">
      <c r="A77" s="2" t="s">
        <v>273</v>
      </c>
      <c r="B77" s="2" t="s">
        <v>274</v>
      </c>
      <c r="C77" s="2" t="s">
        <v>275</v>
      </c>
      <c r="D77" s="2" t="s">
        <v>276</v>
      </c>
      <c r="E77" s="2" t="str">
        <f t="shared" si="0"/>
        <v>AR, MR</v>
      </c>
      <c r="F77" s="2">
        <f t="shared" si="1"/>
        <v>1</v>
      </c>
      <c r="G77" s="2">
        <f t="shared" si="2"/>
        <v>1</v>
      </c>
      <c r="H77" s="2">
        <f t="shared" si="3"/>
        <v>0</v>
      </c>
      <c r="I77" s="2"/>
    </row>
    <row r="78" spans="1:9" ht="14.25" customHeight="1" x14ac:dyDescent="0.25">
      <c r="A78" s="2" t="s">
        <v>277</v>
      </c>
      <c r="B78" s="2" t="s">
        <v>278</v>
      </c>
      <c r="C78" s="2" t="s">
        <v>279</v>
      </c>
      <c r="D78" s="2" t="s">
        <v>280</v>
      </c>
      <c r="E78" s="2" t="str">
        <f t="shared" si="0"/>
        <v>VR</v>
      </c>
      <c r="F78" s="2">
        <f t="shared" si="1"/>
        <v>1</v>
      </c>
      <c r="G78" s="2">
        <f t="shared" si="2"/>
        <v>1</v>
      </c>
      <c r="H78" s="2">
        <f t="shared" si="3"/>
        <v>0</v>
      </c>
      <c r="I78" s="2"/>
    </row>
    <row r="79" spans="1:9" ht="14.25" customHeight="1" x14ac:dyDescent="0.25">
      <c r="A79" s="4" t="s">
        <v>281</v>
      </c>
      <c r="B79" s="4" t="s">
        <v>282</v>
      </c>
      <c r="C79" s="4" t="s">
        <v>283</v>
      </c>
      <c r="D79" s="2" t="s">
        <v>82</v>
      </c>
      <c r="E79" s="2" t="str">
        <f t="shared" si="0"/>
        <v>VR</v>
      </c>
      <c r="F79" s="2">
        <f t="shared" si="1"/>
        <v>1</v>
      </c>
      <c r="G79" s="2">
        <f t="shared" si="2"/>
        <v>1</v>
      </c>
      <c r="H79" s="2">
        <f t="shared" si="3"/>
        <v>0</v>
      </c>
      <c r="I79" s="2" t="s">
        <v>18</v>
      </c>
    </row>
    <row r="80" spans="1:9" ht="14.25" customHeight="1" x14ac:dyDescent="0.25">
      <c r="A80" s="2" t="s">
        <v>284</v>
      </c>
      <c r="B80" s="2" t="s">
        <v>285</v>
      </c>
      <c r="C80" s="2" t="s">
        <v>286</v>
      </c>
      <c r="D80" s="2" t="s">
        <v>149</v>
      </c>
      <c r="E80" s="2" t="str">
        <f t="shared" si="0"/>
        <v>AR</v>
      </c>
      <c r="F80" s="2">
        <f t="shared" si="1"/>
        <v>1</v>
      </c>
      <c r="G80" s="2">
        <f t="shared" si="2"/>
        <v>1</v>
      </c>
      <c r="H80" s="2">
        <f t="shared" si="3"/>
        <v>0</v>
      </c>
      <c r="I80" s="2"/>
    </row>
    <row r="81" spans="1:9" ht="14.25" customHeight="1" x14ac:dyDescent="0.25">
      <c r="A81" s="4" t="s">
        <v>287</v>
      </c>
      <c r="B81" s="4" t="s">
        <v>288</v>
      </c>
      <c r="C81" s="4" t="s">
        <v>289</v>
      </c>
      <c r="D81" s="2" t="s">
        <v>290</v>
      </c>
      <c r="E81" s="2" t="str">
        <f t="shared" si="0"/>
        <v>VR</v>
      </c>
      <c r="F81" s="2">
        <f t="shared" si="1"/>
        <v>1</v>
      </c>
      <c r="G81" s="2">
        <f t="shared" si="2"/>
        <v>1</v>
      </c>
      <c r="H81" s="2">
        <f t="shared" si="3"/>
        <v>1</v>
      </c>
      <c r="I81" s="3" t="s">
        <v>45</v>
      </c>
    </row>
    <row r="82" spans="1:9" ht="14.25" customHeight="1" x14ac:dyDescent="0.25">
      <c r="A82" s="4" t="s">
        <v>291</v>
      </c>
      <c r="B82" s="4" t="s">
        <v>292</v>
      </c>
      <c r="C82" s="4" t="s">
        <v>293</v>
      </c>
      <c r="D82" s="4" t="s">
        <v>103</v>
      </c>
      <c r="E82" s="2" t="str">
        <f t="shared" si="0"/>
        <v>AR</v>
      </c>
      <c r="F82" s="2">
        <f t="shared" si="1"/>
        <v>1</v>
      </c>
      <c r="G82" s="2">
        <f t="shared" si="2"/>
        <v>1</v>
      </c>
      <c r="H82" s="2">
        <f t="shared" si="3"/>
        <v>0</v>
      </c>
      <c r="I82" s="2"/>
    </row>
    <row r="83" spans="1:9" ht="14.25" customHeight="1" x14ac:dyDescent="0.25">
      <c r="A83" s="2" t="s">
        <v>294</v>
      </c>
      <c r="B83" s="2" t="s">
        <v>295</v>
      </c>
      <c r="C83" s="2" t="s">
        <v>296</v>
      </c>
      <c r="D83" s="2" t="s">
        <v>297</v>
      </c>
      <c r="E83" s="2" t="str">
        <f t="shared" si="0"/>
        <v>VR, AR</v>
      </c>
      <c r="F83" s="2">
        <f t="shared" si="1"/>
        <v>1</v>
      </c>
      <c r="G83" s="2">
        <f t="shared" si="2"/>
        <v>1</v>
      </c>
      <c r="H83" s="2">
        <f t="shared" si="3"/>
        <v>0</v>
      </c>
      <c r="I83" s="2"/>
    </row>
    <row r="84" spans="1:9" ht="14.25" customHeight="1" x14ac:dyDescent="0.25">
      <c r="A84" s="2" t="s">
        <v>298</v>
      </c>
      <c r="B84" s="2" t="s">
        <v>299</v>
      </c>
      <c r="C84" s="2" t="s">
        <v>300</v>
      </c>
      <c r="D84" s="2" t="s">
        <v>301</v>
      </c>
      <c r="E84" s="2" t="str">
        <f t="shared" si="0"/>
        <v>AR</v>
      </c>
      <c r="F84" s="2">
        <f t="shared" si="1"/>
        <v>1</v>
      </c>
      <c r="G84" s="2">
        <f t="shared" si="2"/>
        <v>1</v>
      </c>
      <c r="H84" s="2">
        <f t="shared" si="3"/>
        <v>1</v>
      </c>
      <c r="I84" s="3" t="s">
        <v>53</v>
      </c>
    </row>
    <row r="85" spans="1:9" ht="14.25" customHeight="1" x14ac:dyDescent="0.25">
      <c r="A85" s="4" t="s">
        <v>302</v>
      </c>
      <c r="B85" s="4" t="s">
        <v>303</v>
      </c>
      <c r="C85" s="4" t="s">
        <v>304</v>
      </c>
      <c r="D85" s="2" t="s">
        <v>82</v>
      </c>
      <c r="E85" s="2" t="str">
        <f t="shared" si="0"/>
        <v>VR</v>
      </c>
      <c r="F85" s="2">
        <f t="shared" si="1"/>
        <v>1</v>
      </c>
      <c r="G85" s="2">
        <f t="shared" si="2"/>
        <v>1</v>
      </c>
      <c r="H85" s="2">
        <f t="shared" si="3"/>
        <v>0</v>
      </c>
      <c r="I85" s="2"/>
    </row>
    <row r="86" spans="1:9" ht="14.25" customHeight="1" x14ac:dyDescent="0.25">
      <c r="A86" s="4" t="s">
        <v>305</v>
      </c>
      <c r="B86" s="4" t="s">
        <v>306</v>
      </c>
      <c r="C86" s="4" t="s">
        <v>307</v>
      </c>
      <c r="D86" s="4" t="s">
        <v>103</v>
      </c>
      <c r="E86" s="2" t="str">
        <f t="shared" si="0"/>
        <v>AR</v>
      </c>
      <c r="F86" s="2">
        <f t="shared" si="1"/>
        <v>1</v>
      </c>
      <c r="G86" s="2">
        <f t="shared" si="2"/>
        <v>1</v>
      </c>
      <c r="H86" s="2">
        <f t="shared" si="3"/>
        <v>0</v>
      </c>
      <c r="I86" s="2"/>
    </row>
    <row r="87" spans="1:9" ht="14.25" customHeight="1" x14ac:dyDescent="0.25">
      <c r="A87" s="4" t="s">
        <v>308</v>
      </c>
      <c r="B87" s="4" t="s">
        <v>309</v>
      </c>
      <c r="C87" s="4" t="s">
        <v>310</v>
      </c>
      <c r="D87" s="4" t="s">
        <v>234</v>
      </c>
      <c r="E87" s="2" t="str">
        <f t="shared" si="0"/>
        <v>VR</v>
      </c>
      <c r="F87" s="2">
        <f t="shared" si="1"/>
        <v>1</v>
      </c>
      <c r="G87" s="2">
        <f t="shared" si="2"/>
        <v>1</v>
      </c>
      <c r="H87" s="2">
        <f t="shared" si="3"/>
        <v>1</v>
      </c>
      <c r="I87" s="2"/>
    </row>
    <row r="88" spans="1:9" ht="14.25" customHeight="1" x14ac:dyDescent="0.25">
      <c r="A88" s="4" t="s">
        <v>311</v>
      </c>
      <c r="B88" s="4" t="s">
        <v>312</v>
      </c>
      <c r="C88" s="4" t="s">
        <v>313</v>
      </c>
      <c r="D88" s="4" t="s">
        <v>86</v>
      </c>
      <c r="E88" s="2" t="str">
        <f t="shared" si="0"/>
        <v>VR</v>
      </c>
      <c r="F88" s="2">
        <f t="shared" si="1"/>
        <v>1</v>
      </c>
      <c r="G88" s="2">
        <f t="shared" si="2"/>
        <v>1</v>
      </c>
      <c r="H88" s="2">
        <f t="shared" si="3"/>
        <v>0</v>
      </c>
      <c r="I88" s="2"/>
    </row>
    <row r="89" spans="1:9" ht="14.25" customHeight="1" x14ac:dyDescent="0.25">
      <c r="A89" s="2" t="s">
        <v>314</v>
      </c>
      <c r="B89" s="2" t="s">
        <v>315</v>
      </c>
      <c r="C89" s="2" t="s">
        <v>316</v>
      </c>
      <c r="D89" s="2" t="s">
        <v>145</v>
      </c>
      <c r="E89" s="2" t="str">
        <f t="shared" si="0"/>
        <v>VR</v>
      </c>
      <c r="F89" s="2">
        <f t="shared" si="1"/>
        <v>1</v>
      </c>
      <c r="G89" s="2">
        <f t="shared" si="2"/>
        <v>1</v>
      </c>
      <c r="H89" s="2">
        <f t="shared" si="3"/>
        <v>0</v>
      </c>
      <c r="I89" s="2" t="s">
        <v>177</v>
      </c>
    </row>
    <row r="90" spans="1:9" ht="14.25" customHeight="1" x14ac:dyDescent="0.25">
      <c r="A90" s="2" t="s">
        <v>317</v>
      </c>
      <c r="B90" s="2" t="s">
        <v>318</v>
      </c>
      <c r="C90" s="2" t="s">
        <v>319</v>
      </c>
      <c r="D90" s="2" t="s">
        <v>320</v>
      </c>
      <c r="E90" s="2" t="str">
        <f t="shared" si="0"/>
        <v>AR</v>
      </c>
      <c r="F90" s="2">
        <f t="shared" si="1"/>
        <v>1</v>
      </c>
      <c r="G90" s="2">
        <f t="shared" si="2"/>
        <v>1</v>
      </c>
      <c r="H90" s="2">
        <f t="shared" si="3"/>
        <v>0</v>
      </c>
      <c r="I90" s="2" t="s">
        <v>25</v>
      </c>
    </row>
    <row r="91" spans="1:9" ht="14.25" customHeight="1" x14ac:dyDescent="0.25">
      <c r="A91" s="2" t="s">
        <v>321</v>
      </c>
      <c r="B91" s="2" t="s">
        <v>322</v>
      </c>
      <c r="C91" s="2" t="s">
        <v>323</v>
      </c>
      <c r="D91" s="2" t="s">
        <v>324</v>
      </c>
      <c r="E91" s="2" t="str">
        <f t="shared" si="0"/>
        <v>AR</v>
      </c>
      <c r="F91" s="2">
        <f t="shared" si="1"/>
        <v>1</v>
      </c>
      <c r="G91" s="2">
        <f t="shared" si="2"/>
        <v>1</v>
      </c>
      <c r="H91" s="2">
        <f t="shared" si="3"/>
        <v>0</v>
      </c>
      <c r="I91" s="2"/>
    </row>
    <row r="92" spans="1:9" ht="14.25" customHeight="1" x14ac:dyDescent="0.25">
      <c r="A92" s="4" t="s">
        <v>325</v>
      </c>
      <c r="B92" s="4" t="s">
        <v>326</v>
      </c>
      <c r="C92" s="4" t="s">
        <v>327</v>
      </c>
      <c r="D92" s="4" t="s">
        <v>328</v>
      </c>
      <c r="E92" s="2" t="str">
        <f t="shared" si="0"/>
        <v>VR, AR</v>
      </c>
      <c r="F92" s="2">
        <f t="shared" si="1"/>
        <v>1</v>
      </c>
      <c r="G92" s="2">
        <f t="shared" si="2"/>
        <v>1</v>
      </c>
      <c r="H92" s="2">
        <f t="shared" si="3"/>
        <v>0</v>
      </c>
      <c r="I92" s="2"/>
    </row>
    <row r="93" spans="1:9" ht="14.25" customHeight="1" x14ac:dyDescent="0.25">
      <c r="A93" s="2" t="s">
        <v>329</v>
      </c>
      <c r="B93" s="2" t="s">
        <v>330</v>
      </c>
      <c r="C93" s="2" t="s">
        <v>331</v>
      </c>
      <c r="D93" s="2" t="s">
        <v>332</v>
      </c>
      <c r="E93" s="2" t="str">
        <f t="shared" si="0"/>
        <v>AR</v>
      </c>
      <c r="F93" s="2">
        <f t="shared" si="1"/>
        <v>1</v>
      </c>
      <c r="G93" s="2">
        <f t="shared" si="2"/>
        <v>1</v>
      </c>
      <c r="H93" s="2">
        <f t="shared" si="3"/>
        <v>1</v>
      </c>
      <c r="I93" s="2"/>
    </row>
    <row r="94" spans="1:9" ht="14.25" customHeight="1" x14ac:dyDescent="0.25">
      <c r="A94" s="2" t="s">
        <v>333</v>
      </c>
      <c r="B94" s="2" t="s">
        <v>334</v>
      </c>
      <c r="C94" s="2" t="s">
        <v>335</v>
      </c>
      <c r="D94" s="2" t="s">
        <v>82</v>
      </c>
      <c r="E94" s="2" t="str">
        <f t="shared" si="0"/>
        <v>VR</v>
      </c>
      <c r="F94" s="2">
        <f t="shared" si="1"/>
        <v>1</v>
      </c>
      <c r="G94" s="2">
        <f t="shared" si="2"/>
        <v>1</v>
      </c>
      <c r="H94" s="2">
        <f t="shared" si="3"/>
        <v>0</v>
      </c>
      <c r="I94" s="2"/>
    </row>
    <row r="95" spans="1:9" ht="14.25" customHeight="1" x14ac:dyDescent="0.25">
      <c r="A95" s="2" t="s">
        <v>336</v>
      </c>
      <c r="B95" s="2" t="s">
        <v>337</v>
      </c>
      <c r="C95" s="2" t="s">
        <v>338</v>
      </c>
      <c r="D95" s="2" t="s">
        <v>301</v>
      </c>
      <c r="E95" s="2" t="str">
        <f t="shared" si="0"/>
        <v>AR</v>
      </c>
      <c r="F95" s="2">
        <f t="shared" si="1"/>
        <v>1</v>
      </c>
      <c r="G95" s="2">
        <f t="shared" si="2"/>
        <v>1</v>
      </c>
      <c r="H95" s="2">
        <f t="shared" si="3"/>
        <v>1</v>
      </c>
      <c r="I95" s="2" t="s">
        <v>18</v>
      </c>
    </row>
    <row r="96" spans="1:9" ht="14.25" customHeight="1" x14ac:dyDescent="0.25">
      <c r="A96" s="2" t="s">
        <v>339</v>
      </c>
      <c r="B96" s="2" t="s">
        <v>340</v>
      </c>
      <c r="C96" s="2" t="s">
        <v>341</v>
      </c>
      <c r="D96" s="2" t="s">
        <v>12</v>
      </c>
      <c r="E96" s="2" t="str">
        <f t="shared" si="0"/>
        <v>VR</v>
      </c>
      <c r="F96" s="2">
        <f t="shared" si="1"/>
        <v>1</v>
      </c>
      <c r="G96" s="2">
        <f t="shared" si="2"/>
        <v>1</v>
      </c>
      <c r="H96" s="2">
        <f t="shared" si="3"/>
        <v>0</v>
      </c>
      <c r="I96" s="6" t="s">
        <v>53</v>
      </c>
    </row>
    <row r="97" spans="1:9" ht="14.25" customHeight="1" x14ac:dyDescent="0.25">
      <c r="A97" s="2" t="s">
        <v>342</v>
      </c>
      <c r="B97" s="2" t="s">
        <v>343</v>
      </c>
      <c r="C97" s="2" t="s">
        <v>344</v>
      </c>
      <c r="D97" s="2" t="s">
        <v>29</v>
      </c>
      <c r="E97" s="2" t="str">
        <f t="shared" si="0"/>
        <v>VR</v>
      </c>
      <c r="F97" s="2">
        <f t="shared" si="1"/>
        <v>1</v>
      </c>
      <c r="G97" s="2">
        <f t="shared" si="2"/>
        <v>1</v>
      </c>
      <c r="H97" s="2">
        <f t="shared" si="3"/>
        <v>0</v>
      </c>
      <c r="I97" s="2"/>
    </row>
    <row r="98" spans="1:9" ht="14.25" customHeight="1" x14ac:dyDescent="0.25">
      <c r="A98" s="2" t="s">
        <v>345</v>
      </c>
      <c r="B98" s="2" t="s">
        <v>346</v>
      </c>
      <c r="C98" s="2" t="s">
        <v>347</v>
      </c>
      <c r="D98" s="2" t="s">
        <v>17</v>
      </c>
      <c r="E98" s="2" t="str">
        <f t="shared" si="0"/>
        <v>AR</v>
      </c>
      <c r="F98" s="2">
        <f t="shared" si="1"/>
        <v>1</v>
      </c>
      <c r="G98" s="2">
        <f t="shared" si="2"/>
        <v>1</v>
      </c>
      <c r="H98" s="2">
        <f t="shared" si="3"/>
        <v>0</v>
      </c>
      <c r="I98" s="2" t="s">
        <v>18</v>
      </c>
    </row>
    <row r="99" spans="1:9" ht="14.25" customHeight="1" x14ac:dyDescent="0.25">
      <c r="A99" s="4" t="s">
        <v>348</v>
      </c>
      <c r="B99" s="4" t="s">
        <v>349</v>
      </c>
      <c r="C99" s="4" t="s">
        <v>350</v>
      </c>
      <c r="D99" s="4" t="s">
        <v>86</v>
      </c>
      <c r="E99" s="2" t="str">
        <f t="shared" si="0"/>
        <v>VR</v>
      </c>
      <c r="F99" s="2">
        <f t="shared" si="1"/>
        <v>1</v>
      </c>
      <c r="G99" s="2">
        <f t="shared" si="2"/>
        <v>1</v>
      </c>
      <c r="H99" s="2">
        <f t="shared" si="3"/>
        <v>0</v>
      </c>
      <c r="I99" s="2"/>
    </row>
    <row r="100" spans="1:9" ht="14.25" customHeight="1" x14ac:dyDescent="0.25">
      <c r="A100" s="4" t="s">
        <v>351</v>
      </c>
      <c r="B100" s="4" t="s">
        <v>352</v>
      </c>
      <c r="C100" s="4" t="s">
        <v>353</v>
      </c>
      <c r="D100" s="4" t="s">
        <v>103</v>
      </c>
      <c r="E100" s="2" t="str">
        <f t="shared" si="0"/>
        <v>AR</v>
      </c>
      <c r="F100" s="2">
        <f t="shared" si="1"/>
        <v>1</v>
      </c>
      <c r="G100" s="2">
        <f t="shared" si="2"/>
        <v>1</v>
      </c>
      <c r="H100" s="2">
        <f t="shared" si="3"/>
        <v>0</v>
      </c>
      <c r="I100" s="2"/>
    </row>
    <row r="101" spans="1:9" ht="14.25" customHeight="1" x14ac:dyDescent="0.25">
      <c r="A101" s="2" t="s">
        <v>354</v>
      </c>
      <c r="B101" s="2" t="s">
        <v>355</v>
      </c>
      <c r="C101" s="2" t="s">
        <v>356</v>
      </c>
      <c r="D101" s="2" t="s">
        <v>49</v>
      </c>
      <c r="E101" s="2" t="str">
        <f t="shared" si="0"/>
        <v>VR</v>
      </c>
      <c r="F101" s="2">
        <f t="shared" si="1"/>
        <v>1</v>
      </c>
      <c r="G101" s="2">
        <f t="shared" si="2"/>
        <v>1</v>
      </c>
      <c r="H101" s="2">
        <f t="shared" si="3"/>
        <v>0</v>
      </c>
      <c r="I101" s="2" t="s">
        <v>18</v>
      </c>
    </row>
    <row r="102" spans="1:9" ht="14.25" customHeight="1" x14ac:dyDescent="0.25">
      <c r="A102" s="4" t="s">
        <v>357</v>
      </c>
      <c r="B102" s="4" t="s">
        <v>358</v>
      </c>
      <c r="C102" s="4" t="s">
        <v>359</v>
      </c>
      <c r="D102" s="4" t="s">
        <v>234</v>
      </c>
      <c r="E102" s="2" t="str">
        <f t="shared" si="0"/>
        <v>VR</v>
      </c>
      <c r="F102" s="2">
        <f t="shared" si="1"/>
        <v>1</v>
      </c>
      <c r="G102" s="2">
        <f t="shared" si="2"/>
        <v>1</v>
      </c>
      <c r="H102" s="2">
        <f t="shared" si="3"/>
        <v>1</v>
      </c>
      <c r="I102" s="2" t="s">
        <v>25</v>
      </c>
    </row>
    <row r="103" spans="1:9" ht="14.25" customHeight="1" x14ac:dyDescent="0.25">
      <c r="A103" s="2" t="s">
        <v>360</v>
      </c>
      <c r="B103" s="2" t="s">
        <v>361</v>
      </c>
      <c r="C103" s="2" t="s">
        <v>362</v>
      </c>
      <c r="D103" s="2" t="s">
        <v>363</v>
      </c>
      <c r="E103" s="2" t="str">
        <f t="shared" si="0"/>
        <v>VR</v>
      </c>
      <c r="F103" s="2">
        <f t="shared" si="1"/>
        <v>1</v>
      </c>
      <c r="G103" s="2">
        <f t="shared" si="2"/>
        <v>1</v>
      </c>
      <c r="H103" s="2">
        <f t="shared" si="3"/>
        <v>0</v>
      </c>
      <c r="I103" s="2" t="s">
        <v>18</v>
      </c>
    </row>
    <row r="104" spans="1:9" ht="14.25" customHeight="1" x14ac:dyDescent="0.25">
      <c r="A104" s="2" t="s">
        <v>364</v>
      </c>
      <c r="B104" s="2" t="s">
        <v>365</v>
      </c>
      <c r="C104" s="2" t="s">
        <v>366</v>
      </c>
      <c r="D104" s="2" t="s">
        <v>290</v>
      </c>
      <c r="E104" s="2" t="str">
        <f t="shared" si="0"/>
        <v>VR</v>
      </c>
      <c r="F104" s="2">
        <f t="shared" si="1"/>
        <v>1</v>
      </c>
      <c r="G104" s="2">
        <f t="shared" si="2"/>
        <v>1</v>
      </c>
      <c r="H104" s="2">
        <f t="shared" si="3"/>
        <v>1</v>
      </c>
      <c r="I104" s="2" t="s">
        <v>13</v>
      </c>
    </row>
    <row r="105" spans="1:9" ht="14.25" customHeight="1" x14ac:dyDescent="0.25">
      <c r="A105" s="4" t="s">
        <v>367</v>
      </c>
      <c r="B105" s="4" t="s">
        <v>368</v>
      </c>
      <c r="C105" s="4" t="s">
        <v>369</v>
      </c>
      <c r="D105" s="4" t="s">
        <v>86</v>
      </c>
      <c r="E105" s="2" t="str">
        <f t="shared" si="0"/>
        <v>VR</v>
      </c>
      <c r="F105" s="2">
        <f t="shared" si="1"/>
        <v>1</v>
      </c>
      <c r="G105" s="2">
        <f t="shared" si="2"/>
        <v>1</v>
      </c>
      <c r="H105" s="2">
        <f t="shared" si="3"/>
        <v>0</v>
      </c>
      <c r="I105" s="2"/>
    </row>
    <row r="106" spans="1:9" ht="14.25" customHeight="1" x14ac:dyDescent="0.25">
      <c r="A106" s="4" t="s">
        <v>370</v>
      </c>
      <c r="B106" s="4" t="s">
        <v>371</v>
      </c>
      <c r="C106" s="4" t="s">
        <v>372</v>
      </c>
      <c r="D106" s="4" t="s">
        <v>234</v>
      </c>
      <c r="E106" s="2" t="str">
        <f t="shared" si="0"/>
        <v>VR</v>
      </c>
      <c r="F106" s="2">
        <f t="shared" si="1"/>
        <v>1</v>
      </c>
      <c r="G106" s="2">
        <f t="shared" si="2"/>
        <v>1</v>
      </c>
      <c r="H106" s="2">
        <f t="shared" si="3"/>
        <v>1</v>
      </c>
      <c r="I106" s="2" t="s">
        <v>18</v>
      </c>
    </row>
    <row r="107" spans="1:9" ht="14.25" customHeight="1" x14ac:dyDescent="0.25">
      <c r="A107" s="2" t="s">
        <v>373</v>
      </c>
      <c r="B107" s="2" t="s">
        <v>374</v>
      </c>
      <c r="C107" s="2" t="s">
        <v>375</v>
      </c>
      <c r="D107" s="2" t="s">
        <v>12</v>
      </c>
      <c r="E107" s="2" t="str">
        <f t="shared" si="0"/>
        <v>VR</v>
      </c>
      <c r="F107" s="2">
        <f t="shared" si="1"/>
        <v>1</v>
      </c>
      <c r="G107" s="2">
        <f t="shared" si="2"/>
        <v>1</v>
      </c>
      <c r="H107" s="2">
        <f t="shared" si="3"/>
        <v>0</v>
      </c>
      <c r="I107" s="3" t="s">
        <v>18</v>
      </c>
    </row>
    <row r="108" spans="1:9" ht="14.25" customHeight="1" x14ac:dyDescent="0.25">
      <c r="A108" s="2" t="s">
        <v>376</v>
      </c>
      <c r="B108" s="2" t="s">
        <v>377</v>
      </c>
      <c r="C108" s="2" t="s">
        <v>378</v>
      </c>
      <c r="D108" s="2" t="s">
        <v>17</v>
      </c>
      <c r="E108" s="2" t="str">
        <f t="shared" si="0"/>
        <v>AR</v>
      </c>
      <c r="F108" s="2">
        <f t="shared" si="1"/>
        <v>1</v>
      </c>
      <c r="G108" s="2">
        <f t="shared" si="2"/>
        <v>1</v>
      </c>
      <c r="H108" s="2">
        <f t="shared" si="3"/>
        <v>0</v>
      </c>
      <c r="I108" s="2"/>
    </row>
    <row r="109" spans="1:9" ht="14.25" customHeight="1" x14ac:dyDescent="0.25">
      <c r="A109" s="2" t="s">
        <v>379</v>
      </c>
      <c r="B109" s="2" t="s">
        <v>380</v>
      </c>
      <c r="C109" s="2" t="s">
        <v>381</v>
      </c>
      <c r="D109" s="2" t="s">
        <v>17</v>
      </c>
      <c r="E109" s="2" t="str">
        <f t="shared" si="0"/>
        <v>AR</v>
      </c>
      <c r="F109" s="2">
        <f t="shared" si="1"/>
        <v>1</v>
      </c>
      <c r="G109" s="2">
        <f t="shared" si="2"/>
        <v>1</v>
      </c>
      <c r="H109" s="2">
        <f t="shared" si="3"/>
        <v>0</v>
      </c>
      <c r="I109" s="2" t="s">
        <v>53</v>
      </c>
    </row>
    <row r="110" spans="1:9" ht="14.25" customHeight="1" x14ac:dyDescent="0.25">
      <c r="A110" s="2" t="s">
        <v>382</v>
      </c>
      <c r="B110" s="2" t="s">
        <v>383</v>
      </c>
      <c r="C110" s="2" t="s">
        <v>384</v>
      </c>
      <c r="D110" s="2" t="s">
        <v>149</v>
      </c>
      <c r="E110" s="2" t="str">
        <f t="shared" si="0"/>
        <v>AR</v>
      </c>
      <c r="F110" s="2">
        <f t="shared" si="1"/>
        <v>1</v>
      </c>
      <c r="G110" s="2">
        <f t="shared" si="2"/>
        <v>1</v>
      </c>
      <c r="H110" s="2">
        <f t="shared" si="3"/>
        <v>0</v>
      </c>
      <c r="I110" s="2"/>
    </row>
    <row r="111" spans="1:9" ht="14.25" customHeight="1" x14ac:dyDescent="0.25">
      <c r="A111" s="2" t="s">
        <v>385</v>
      </c>
      <c r="B111" s="2" t="s">
        <v>386</v>
      </c>
      <c r="C111" s="2" t="s">
        <v>177</v>
      </c>
      <c r="D111" s="2" t="s">
        <v>29</v>
      </c>
      <c r="E111" s="2" t="str">
        <f t="shared" si="0"/>
        <v>VR</v>
      </c>
      <c r="F111" s="2">
        <f t="shared" si="1"/>
        <v>1</v>
      </c>
      <c r="G111" s="2">
        <f t="shared" si="2"/>
        <v>1</v>
      </c>
      <c r="H111" s="2">
        <f t="shared" si="3"/>
        <v>0</v>
      </c>
      <c r="I111" s="3" t="s">
        <v>18</v>
      </c>
    </row>
    <row r="112" spans="1:9" ht="14.25" customHeight="1" x14ac:dyDescent="0.25">
      <c r="A112" s="2" t="s">
        <v>387</v>
      </c>
      <c r="B112" s="2" t="s">
        <v>388</v>
      </c>
      <c r="C112" s="2" t="s">
        <v>389</v>
      </c>
      <c r="D112" s="2" t="s">
        <v>17</v>
      </c>
      <c r="E112" s="2" t="str">
        <f t="shared" si="0"/>
        <v>AR</v>
      </c>
      <c r="F112" s="2">
        <f t="shared" si="1"/>
        <v>1</v>
      </c>
      <c r="G112" s="2">
        <f t="shared" si="2"/>
        <v>1</v>
      </c>
      <c r="H112" s="2">
        <f t="shared" si="3"/>
        <v>0</v>
      </c>
      <c r="I112" s="2"/>
    </row>
    <row r="113" spans="1:9" ht="14.25" customHeight="1" x14ac:dyDescent="0.25">
      <c r="A113" s="2" t="s">
        <v>390</v>
      </c>
      <c r="B113" s="2" t="s">
        <v>391</v>
      </c>
      <c r="C113" s="2" t="s">
        <v>392</v>
      </c>
      <c r="D113" s="2" t="s">
        <v>393</v>
      </c>
      <c r="E113" s="2" t="str">
        <f t="shared" si="0"/>
        <v>VR, AR</v>
      </c>
      <c r="F113" s="2">
        <f t="shared" si="1"/>
        <v>1</v>
      </c>
      <c r="G113" s="2">
        <f t="shared" si="2"/>
        <v>1</v>
      </c>
      <c r="H113" s="2">
        <f t="shared" si="3"/>
        <v>1</v>
      </c>
      <c r="I113" s="7"/>
    </row>
    <row r="114" spans="1:9" ht="14.25" customHeight="1" x14ac:dyDescent="0.25">
      <c r="A114" s="4" t="s">
        <v>394</v>
      </c>
      <c r="B114" s="4" t="s">
        <v>395</v>
      </c>
      <c r="C114" s="4" t="s">
        <v>396</v>
      </c>
      <c r="D114" s="4" t="s">
        <v>397</v>
      </c>
      <c r="E114" s="2" t="str">
        <f t="shared" si="0"/>
        <v>VR, AR</v>
      </c>
      <c r="F114" s="2">
        <f t="shared" si="1"/>
        <v>1</v>
      </c>
      <c r="G114" s="2">
        <f t="shared" si="2"/>
        <v>1</v>
      </c>
      <c r="H114" s="2">
        <f t="shared" si="3"/>
        <v>1</v>
      </c>
      <c r="I114" s="2"/>
    </row>
    <row r="115" spans="1:9" ht="14.25" customHeight="1" x14ac:dyDescent="0.25">
      <c r="A115" s="4" t="s">
        <v>398</v>
      </c>
      <c r="B115" s="4" t="s">
        <v>399</v>
      </c>
      <c r="C115" s="4" t="s">
        <v>400</v>
      </c>
      <c r="D115" s="4" t="s">
        <v>41</v>
      </c>
      <c r="E115" s="2" t="str">
        <f t="shared" si="0"/>
        <v>AR, MR</v>
      </c>
      <c r="F115" s="2">
        <f t="shared" si="1"/>
        <v>1</v>
      </c>
      <c r="G115" s="2">
        <f t="shared" si="2"/>
        <v>1</v>
      </c>
      <c r="H115" s="2">
        <f t="shared" si="3"/>
        <v>0</v>
      </c>
      <c r="I115" s="2"/>
    </row>
    <row r="116" spans="1:9" ht="14.25" customHeight="1" x14ac:dyDescent="0.25">
      <c r="A116" s="2" t="s">
        <v>401</v>
      </c>
      <c r="B116" s="2" t="s">
        <v>402</v>
      </c>
      <c r="C116" s="2" t="s">
        <v>403</v>
      </c>
      <c r="D116" s="2" t="s">
        <v>49</v>
      </c>
      <c r="E116" s="2" t="str">
        <f t="shared" si="0"/>
        <v>VR</v>
      </c>
      <c r="F116" s="2">
        <f t="shared" si="1"/>
        <v>1</v>
      </c>
      <c r="G116" s="2">
        <f t="shared" si="2"/>
        <v>1</v>
      </c>
      <c r="H116" s="2">
        <f t="shared" si="3"/>
        <v>0</v>
      </c>
      <c r="I116" s="2" t="s">
        <v>53</v>
      </c>
    </row>
    <row r="117" spans="1:9" ht="14.25" customHeight="1" x14ac:dyDescent="0.25">
      <c r="A117" s="2" t="s">
        <v>404</v>
      </c>
      <c r="B117" s="2" t="s">
        <v>405</v>
      </c>
      <c r="C117" s="2" t="s">
        <v>406</v>
      </c>
      <c r="D117" s="2" t="s">
        <v>29</v>
      </c>
      <c r="E117" s="2" t="str">
        <f t="shared" si="0"/>
        <v>VR</v>
      </c>
      <c r="F117" s="2">
        <f t="shared" si="1"/>
        <v>1</v>
      </c>
      <c r="G117" s="2">
        <f t="shared" si="2"/>
        <v>1</v>
      </c>
      <c r="H117" s="2">
        <f t="shared" si="3"/>
        <v>0</v>
      </c>
      <c r="I117" s="2" t="s">
        <v>18</v>
      </c>
    </row>
    <row r="118" spans="1:9" ht="14.25" customHeight="1" x14ac:dyDescent="0.25">
      <c r="A118" s="2" t="s">
        <v>407</v>
      </c>
      <c r="B118" s="2" t="s">
        <v>408</v>
      </c>
      <c r="C118" s="2" t="s">
        <v>409</v>
      </c>
      <c r="D118" s="2" t="s">
        <v>12</v>
      </c>
      <c r="E118" s="2" t="str">
        <f t="shared" si="0"/>
        <v>VR</v>
      </c>
      <c r="F118" s="2">
        <f t="shared" si="1"/>
        <v>1</v>
      </c>
      <c r="G118" s="2">
        <f t="shared" si="2"/>
        <v>1</v>
      </c>
      <c r="H118" s="2">
        <f t="shared" si="3"/>
        <v>0</v>
      </c>
      <c r="I118" s="2" t="s">
        <v>13</v>
      </c>
    </row>
    <row r="119" spans="1:9" ht="14.25" customHeight="1" x14ac:dyDescent="0.25"/>
    <row r="120" spans="1:9" ht="14.25" customHeight="1" x14ac:dyDescent="0.25"/>
    <row r="121" spans="1:9" ht="14.25" customHeight="1" x14ac:dyDescent="0.25"/>
    <row r="122" spans="1:9" ht="14.25" customHeight="1" x14ac:dyDescent="0.25"/>
    <row r="123" spans="1:9" ht="14.25" customHeight="1" x14ac:dyDescent="0.25"/>
    <row r="124" spans="1:9" ht="14.25" customHeight="1" x14ac:dyDescent="0.25"/>
    <row r="125" spans="1:9" ht="14.25" customHeight="1" x14ac:dyDescent="0.25"/>
    <row r="126" spans="1:9" ht="14.25" customHeight="1" x14ac:dyDescent="0.25"/>
    <row r="127" spans="1:9" ht="14.25" customHeight="1" x14ac:dyDescent="0.25"/>
    <row r="128" spans="1:9"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sheetData>
  <autoFilter ref="A1:I118" xr:uid="{00000000-0009-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Revisados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ÁLVARO NAVARRO LÓPEZ-MENCHERO</cp:lastModifiedBy>
  <dcterms:created xsi:type="dcterms:W3CDTF">2026-02-27T10:15:40Z</dcterms:created>
  <dcterms:modified xsi:type="dcterms:W3CDTF">2026-10-09T10:58:14Z</dcterms:modified>
</cp:coreProperties>
</file>